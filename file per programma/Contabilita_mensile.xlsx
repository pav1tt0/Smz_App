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SMZ\file per programma\"/>
    </mc:Choice>
  </mc:AlternateContent>
  <xr:revisionPtr revIDLastSave="0" documentId="13_ncr:1_{FED33A4D-32A6-4B0F-BD98-BAD649E25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sile" sheetId="1" r:id="rId1"/>
  </sheets>
  <calcPr calcId="191029"/>
  <customWorkbookViews>
    <customWorkbookView name="cnes - Visualizzazione personale" guid="{0E071083-17EF-4660-B708-C7CD6779ED1E}" mergeInterval="0" personalView="1" maximized="1" windowWidth="796" windowHeight="438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9" i="1" l="1"/>
  <c r="J263" i="1"/>
  <c r="J194" i="1"/>
  <c r="J200" i="1"/>
  <c r="J128" i="1"/>
  <c r="J135" i="1"/>
  <c r="J174" i="1"/>
  <c r="J173" i="1"/>
  <c r="J172" i="1"/>
  <c r="J171" i="1"/>
  <c r="J170" i="1"/>
  <c r="J169" i="1"/>
  <c r="J168" i="1"/>
  <c r="J167" i="1"/>
  <c r="J166" i="1"/>
  <c r="J165" i="1"/>
  <c r="J175" i="1"/>
  <c r="J176" i="1"/>
  <c r="J177" i="1"/>
  <c r="J178" i="1"/>
  <c r="J179" i="1"/>
  <c r="J180" i="1"/>
  <c r="J181" i="1"/>
  <c r="J182" i="1"/>
  <c r="J183" i="1"/>
  <c r="J18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85" i="1"/>
  <c r="J186" i="1"/>
  <c r="J187" i="1"/>
  <c r="J188" i="1"/>
  <c r="J189" i="1"/>
  <c r="J190" i="1"/>
  <c r="J191" i="1"/>
  <c r="J192" i="1"/>
  <c r="J193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64" i="1"/>
  <c r="J265" i="1"/>
  <c r="J266" i="1"/>
  <c r="J267" i="1"/>
  <c r="J268" i="1"/>
  <c r="J269" i="1"/>
  <c r="J270" i="1"/>
  <c r="J271" i="1"/>
  <c r="J272" i="1"/>
  <c r="L259" i="1" l="1"/>
  <c r="L194" i="1"/>
  <c r="L128" i="1"/>
  <c r="L174" i="1"/>
  <c r="L184" i="1"/>
  <c r="L26" i="1"/>
  <c r="L97" i="1"/>
  <c r="L164" i="1"/>
  <c r="L108" i="1"/>
  <c r="L272" i="1"/>
  <c r="L239" i="1"/>
  <c r="L229" i="1"/>
  <c r="L144" i="1"/>
  <c r="L77" i="1"/>
  <c r="L36" i="1"/>
  <c r="L87" i="1"/>
  <c r="L46" i="1"/>
  <c r="L219" i="1"/>
  <c r="L118" i="1"/>
  <c r="L249" i="1"/>
  <c r="L209" i="1"/>
  <c r="L154" i="1"/>
  <c r="L66" i="1"/>
  <c r="L56" i="1"/>
  <c r="M185" i="1"/>
  <c r="N185" i="1"/>
  <c r="O185" i="1"/>
  <c r="M100" i="1"/>
  <c r="N100" i="1"/>
  <c r="O100" i="1"/>
  <c r="N19" i="1"/>
  <c r="M37" i="1"/>
  <c r="M68" i="1"/>
  <c r="M78" i="1"/>
  <c r="M110" i="1"/>
  <c r="M134" i="1"/>
  <c r="M144" i="1"/>
  <c r="M27" i="1"/>
  <c r="M154" i="1"/>
  <c r="N37" i="1"/>
  <c r="N68" i="1"/>
  <c r="N78" i="1"/>
  <c r="N110" i="1"/>
  <c r="N134" i="1"/>
  <c r="N144" i="1"/>
  <c r="N27" i="1"/>
  <c r="N154" i="1"/>
  <c r="O37" i="1"/>
  <c r="O68" i="1"/>
  <c r="O78" i="1"/>
  <c r="O110" i="1"/>
  <c r="O134" i="1"/>
  <c r="O144" i="1"/>
  <c r="O27" i="1"/>
  <c r="O154" i="1"/>
</calcChain>
</file>

<file path=xl/sharedStrings.xml><?xml version="1.0" encoding="utf-8"?>
<sst xmlns="http://schemas.openxmlformats.org/spreadsheetml/2006/main" count="587" uniqueCount="68">
  <si>
    <t>A.R.A.</t>
  </si>
  <si>
    <t>A.R.O.</t>
  </si>
  <si>
    <t>A.R.M.</t>
  </si>
  <si>
    <t>POLIZIA DI STATO</t>
  </si>
  <si>
    <t>Centro Nautico e Sommozzatori</t>
  </si>
  <si>
    <t>D I C H I A R A Z I O N E</t>
  </si>
  <si>
    <t>Qual</t>
  </si>
  <si>
    <t>Cognome e Nome</t>
  </si>
  <si>
    <t>Appar.</t>
  </si>
  <si>
    <t>Prof.</t>
  </si>
  <si>
    <t>Tariffa</t>
  </si>
  <si>
    <t>ORE ORD</t>
  </si>
  <si>
    <t>ORE ADD</t>
  </si>
  <si>
    <t>Importo</t>
  </si>
  <si>
    <t>TOTALE</t>
  </si>
  <si>
    <t>00/12</t>
  </si>
  <si>
    <t>13/25</t>
  </si>
  <si>
    <t>26/40</t>
  </si>
  <si>
    <t>41/55</t>
  </si>
  <si>
    <t>56/80</t>
  </si>
  <si>
    <t>CASCIARO Fulvio</t>
  </si>
  <si>
    <t>SCAPAZZONI Cesare</t>
  </si>
  <si>
    <t>MARINESI Barbara</t>
  </si>
  <si>
    <t>SMERALDI Nicola</t>
  </si>
  <si>
    <t>DEFERRARI Luca</t>
  </si>
  <si>
    <t>POLTRONIERI Luciano</t>
  </si>
  <si>
    <t>SANTINI Davide</t>
  </si>
  <si>
    <t>LAGROIA Riccardo</t>
  </si>
  <si>
    <t>ORE SPER</t>
  </si>
  <si>
    <t>MAROTTA Ernesto</t>
  </si>
  <si>
    <t>ORE C.I.</t>
  </si>
  <si>
    <t>Med. Rag.</t>
  </si>
  <si>
    <t>V.I.</t>
  </si>
  <si>
    <t>ASS.C.C.</t>
  </si>
  <si>
    <t>Sov.</t>
  </si>
  <si>
    <t xml:space="preserve">            GIAMBALVO Mario</t>
  </si>
  <si>
    <t>Isp.</t>
  </si>
  <si>
    <t>DE PALMA GERI</t>
  </si>
  <si>
    <t>PECUNIA Francesco</t>
  </si>
  <si>
    <t>S.Comm</t>
  </si>
  <si>
    <t>ISP. Tec</t>
  </si>
  <si>
    <t>Inf/Fsb</t>
  </si>
  <si>
    <t>AGT.</t>
  </si>
  <si>
    <t xml:space="preserve">IL DIRETTORE </t>
  </si>
  <si>
    <t>BRUCCINI Marcello</t>
  </si>
  <si>
    <t>BURATTO Emanuele V.</t>
  </si>
  <si>
    <t>FRONZA Gianni Jr.</t>
  </si>
  <si>
    <t>per il Responsabile Nucleo SMZ</t>
  </si>
  <si>
    <t>ASS.C.</t>
  </si>
  <si>
    <t>DE MARIA Luca</t>
  </si>
  <si>
    <t>TABBI Orazio</t>
  </si>
  <si>
    <t xml:space="preserve">ore d’immersione come a fianco di ciascuno indicato per lo svolgimento  di servizi operativi di specialità in sede e </t>
  </si>
  <si>
    <t>LOMBARDO Cristian</t>
  </si>
  <si>
    <t>LEONIDE Giancarlo</t>
  </si>
  <si>
    <t>ROSSETTI Stefano</t>
  </si>
  <si>
    <t>GRALIO Andrea</t>
  </si>
  <si>
    <t>GUERRESI Lucia</t>
  </si>
  <si>
    <t xml:space="preserve"> TURTURIELLO Cecilia</t>
  </si>
  <si>
    <t>AGT. S.</t>
  </si>
  <si>
    <t>Sov.C.</t>
  </si>
  <si>
    <t>CARTOLANO Andrea</t>
  </si>
  <si>
    <t>V.SOV.</t>
  </si>
  <si>
    <t xml:space="preserve">La Spezia, </t>
  </si>
  <si>
    <t xml:space="preserve">           Il sottoscritto ________________, visti gli atti d'ufficio, dichiara che il sottoelencato personale ha effettuato</t>
  </si>
  <si>
    <t>fuori sede nel mese di _______________</t>
  </si>
  <si>
    <t>OGGETTO: Indennità di rischio per operatori subacquei del mese di _______________</t>
  </si>
  <si>
    <t>Nucleo Sommozzatori</t>
  </si>
  <si>
    <t>La Spezia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</si>
</sst>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i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sz val="8"/>
      <name val="Times New Roman"/>
      <family val="1"/>
    </font>
    <font>
      <u/>
      <sz val="8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2" fontId="4" fillId="0" borderId="20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/>
    <xf numFmtId="0" fontId="11" fillId="0" borderId="0" xfId="0" applyFont="1"/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2" fontId="4" fillId="0" borderId="2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2" fontId="4" fillId="0" borderId="25" xfId="0" applyNumberFormat="1" applyFont="1" applyBorder="1" applyAlignment="1">
      <alignment horizontal="center"/>
    </xf>
    <xf numFmtId="0" fontId="4" fillId="0" borderId="24" xfId="0" applyFont="1" applyBorder="1"/>
    <xf numFmtId="2" fontId="5" fillId="0" borderId="26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2" fontId="4" fillId="0" borderId="3" xfId="0" applyNumberFormat="1" applyFont="1" applyBorder="1" applyAlignment="1">
      <alignment horizontal="center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2" fontId="5" fillId="0" borderId="25" xfId="0" applyNumberFormat="1" applyFont="1" applyBorder="1" applyAlignment="1">
      <alignment horizontal="center" vertical="center" wrapText="1"/>
    </xf>
    <xf numFmtId="2" fontId="4" fillId="0" borderId="2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7" fontId="3" fillId="0" borderId="10" xfId="0" applyNumberFormat="1" applyFont="1" applyBorder="1" applyAlignment="1">
      <alignment horizontal="left"/>
    </xf>
    <xf numFmtId="0" fontId="10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471481</xdr:colOff>
      <xdr:row>1</xdr:row>
      <xdr:rowOff>19050</xdr:rowOff>
    </xdr:from>
    <xdr:to>
      <xdr:col>4</xdr:col>
      <xdr:colOff>495294</xdr:colOff>
      <xdr:row>5</xdr:row>
      <xdr:rowOff>47625</xdr:rowOff>
    </xdr:to>
    <xdr:pic>
      <xdr:nvPicPr>
        <xdr:cNvPr id="1026" name="Picture 3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48006" y="147638"/>
          <a:ext cx="509588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7"/>
  <sheetViews>
    <sheetView tabSelected="1" topLeftCell="A28" zoomScaleNormal="100" zoomScaleSheetLayoutView="200" zoomScalePageLayoutView="150" workbookViewId="0">
      <selection activeCell="E8" sqref="E8"/>
    </sheetView>
  </sheetViews>
  <sheetFormatPr defaultColWidth="9.109375" defaultRowHeight="10.199999999999999" x14ac:dyDescent="0.2"/>
  <cols>
    <col min="1" max="1" width="7.44140625" style="4" customWidth="1"/>
    <col min="2" max="2" width="24" style="4" customWidth="1"/>
    <col min="3" max="3" width="7.5546875" style="4" customWidth="1"/>
    <col min="4" max="4" width="7.109375" style="4" customWidth="1"/>
    <col min="5" max="5" width="7.5546875" style="4" customWidth="1"/>
    <col min="6" max="6" width="5.109375" style="4" customWidth="1"/>
    <col min="7" max="7" width="5.44140625" style="4" customWidth="1"/>
    <col min="8" max="8" width="6.109375" style="4" customWidth="1"/>
    <col min="9" max="9" width="4" style="4" customWidth="1"/>
    <col min="10" max="10" width="10.33203125" style="4" customWidth="1"/>
    <col min="11" max="11" width="6.88671875" style="4" customWidth="1"/>
    <col min="12" max="12" width="8.5546875" style="4" customWidth="1"/>
    <col min="13" max="15" width="5.6640625" style="4" hidden="1" customWidth="1"/>
    <col min="16" max="16384" width="9.109375" style="4"/>
  </cols>
  <sheetData>
    <row r="1" spans="1:12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" customHeight="1" x14ac:dyDescent="0.35">
      <c r="A6" s="3"/>
      <c r="B6" s="5"/>
      <c r="C6" s="6"/>
      <c r="E6" s="1" t="s">
        <v>3</v>
      </c>
      <c r="G6" s="5"/>
      <c r="H6" s="5"/>
      <c r="I6" s="5"/>
      <c r="J6" s="3"/>
      <c r="K6" s="3"/>
      <c r="L6" s="3"/>
    </row>
    <row r="7" spans="1:12" ht="16.2" x14ac:dyDescent="0.35">
      <c r="A7" s="3"/>
      <c r="B7" s="8"/>
      <c r="C7" s="6"/>
      <c r="D7" s="2"/>
      <c r="E7" s="1" t="s">
        <v>4</v>
      </c>
      <c r="F7" s="7"/>
      <c r="G7" s="8"/>
      <c r="H7" s="8"/>
      <c r="I7" s="8"/>
    </row>
    <row r="8" spans="1:12" ht="16.2" x14ac:dyDescent="0.35">
      <c r="A8" s="3"/>
      <c r="B8" s="8"/>
      <c r="C8" s="5"/>
      <c r="E8" s="1" t="s">
        <v>66</v>
      </c>
      <c r="G8" s="8"/>
      <c r="H8" s="8"/>
      <c r="I8" s="8"/>
    </row>
    <row r="9" spans="1:12" ht="15.75" customHeight="1" x14ac:dyDescent="0.35">
      <c r="A9" s="3"/>
      <c r="B9" s="8"/>
      <c r="C9" s="8"/>
      <c r="D9" s="63" t="s">
        <v>67</v>
      </c>
      <c r="E9" s="63"/>
      <c r="F9" s="63"/>
      <c r="G9" s="8"/>
      <c r="H9" s="8"/>
      <c r="I9" s="8"/>
    </row>
    <row r="10" spans="1:12" ht="13.2" x14ac:dyDescent="0.25">
      <c r="A10" s="35"/>
      <c r="J10" s="9"/>
    </row>
    <row r="11" spans="1:12" s="8" customFormat="1" ht="13.2" x14ac:dyDescent="0.25">
      <c r="A11" s="64" t="s">
        <v>65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1:12" ht="40.5" customHeight="1" x14ac:dyDescent="0.25">
      <c r="A12" s="3"/>
      <c r="C12" s="67" t="s">
        <v>5</v>
      </c>
      <c r="D12" s="67"/>
      <c r="E12" s="67"/>
      <c r="F12" s="67"/>
      <c r="G12" s="67"/>
      <c r="H12" s="67"/>
    </row>
    <row r="13" spans="1:12" ht="17.25" customHeight="1" x14ac:dyDescent="0.2">
      <c r="A13" s="3"/>
      <c r="F13" s="10"/>
    </row>
    <row r="14" spans="1:12" s="11" customFormat="1" ht="12.75" customHeight="1" x14ac:dyDescent="0.25">
      <c r="A14" s="64" t="s">
        <v>63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spans="1:12" ht="12.75" customHeight="1" x14ac:dyDescent="0.25">
      <c r="A15" s="64" t="s">
        <v>51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1:12" ht="12.75" customHeight="1" x14ac:dyDescent="0.25">
      <c r="A16" s="64" t="s">
        <v>64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</row>
    <row r="17" spans="1:15" ht="12.75" customHeight="1" thickBot="1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1:15" ht="21" thickBot="1" x14ac:dyDescent="0.25">
      <c r="A18" s="12" t="s">
        <v>6</v>
      </c>
      <c r="B18" s="13" t="s">
        <v>7</v>
      </c>
      <c r="C18" s="14" t="s">
        <v>8</v>
      </c>
      <c r="D18" s="14" t="s">
        <v>9</v>
      </c>
      <c r="E18" s="14" t="s">
        <v>10</v>
      </c>
      <c r="F18" s="14" t="s">
        <v>11</v>
      </c>
      <c r="G18" s="14" t="s">
        <v>12</v>
      </c>
      <c r="H18" s="14" t="s">
        <v>28</v>
      </c>
      <c r="I18" s="14" t="s">
        <v>30</v>
      </c>
      <c r="J18" s="15" t="s">
        <v>13</v>
      </c>
      <c r="K18" s="15" t="s">
        <v>31</v>
      </c>
      <c r="L18" s="16" t="s">
        <v>14</v>
      </c>
    </row>
    <row r="19" spans="1:15" hidden="1" x14ac:dyDescent="0.2">
      <c r="A19" s="17"/>
      <c r="B19" s="18"/>
      <c r="C19" s="17"/>
      <c r="D19" s="17"/>
      <c r="E19" s="19"/>
      <c r="F19" s="20"/>
      <c r="G19" s="20"/>
      <c r="H19" s="20"/>
      <c r="I19" s="20"/>
      <c r="J19" s="21"/>
      <c r="K19" s="19"/>
      <c r="L19" s="22"/>
      <c r="N19" s="4" t="e">
        <f>SUM(F19:H24)+#REF!</f>
        <v>#REF!</v>
      </c>
    </row>
    <row r="20" spans="1:15" hidden="1" x14ac:dyDescent="0.2">
      <c r="A20" s="17"/>
      <c r="B20" s="18"/>
      <c r="C20" s="17"/>
      <c r="D20" s="17"/>
      <c r="E20" s="19"/>
      <c r="F20" s="20"/>
      <c r="G20" s="20"/>
      <c r="H20" s="20"/>
      <c r="I20" s="20"/>
      <c r="J20" s="21"/>
      <c r="K20" s="19"/>
      <c r="L20" s="22"/>
    </row>
    <row r="21" spans="1:15" hidden="1" x14ac:dyDescent="0.2">
      <c r="A21" s="17"/>
      <c r="B21" s="18"/>
      <c r="C21" s="17"/>
      <c r="D21" s="17"/>
      <c r="E21" s="19"/>
      <c r="F21" s="20"/>
      <c r="G21" s="20"/>
      <c r="H21" s="20"/>
      <c r="I21" s="20"/>
      <c r="J21" s="21"/>
      <c r="K21" s="19"/>
      <c r="L21" s="22"/>
    </row>
    <row r="22" spans="1:15" hidden="1" x14ac:dyDescent="0.2">
      <c r="A22" s="17"/>
      <c r="B22" s="18"/>
      <c r="C22" s="17"/>
      <c r="D22" s="17"/>
      <c r="E22" s="19"/>
      <c r="F22" s="20"/>
      <c r="G22" s="20"/>
      <c r="H22" s="20"/>
      <c r="I22" s="20"/>
      <c r="J22" s="21"/>
      <c r="K22" s="19"/>
      <c r="L22" s="22"/>
    </row>
    <row r="23" spans="1:15" hidden="1" x14ac:dyDescent="0.2">
      <c r="A23" s="17"/>
      <c r="B23" s="18"/>
      <c r="C23" s="17"/>
      <c r="D23" s="17"/>
      <c r="E23" s="19"/>
      <c r="F23" s="20"/>
      <c r="G23" s="20"/>
      <c r="H23" s="20"/>
      <c r="I23" s="20"/>
      <c r="J23" s="21"/>
      <c r="K23" s="19"/>
      <c r="L23" s="22"/>
    </row>
    <row r="24" spans="1:15" hidden="1" x14ac:dyDescent="0.2">
      <c r="A24" s="23"/>
      <c r="B24" s="24"/>
      <c r="C24" s="23"/>
      <c r="D24" s="23"/>
      <c r="E24" s="25"/>
      <c r="F24" s="20"/>
      <c r="G24" s="20"/>
      <c r="H24" s="20"/>
      <c r="I24" s="20"/>
      <c r="J24" s="21"/>
      <c r="K24" s="21"/>
      <c r="L24" s="21"/>
    </row>
    <row r="25" spans="1:15" x14ac:dyDescent="0.2">
      <c r="A25" s="18" t="s">
        <v>39</v>
      </c>
      <c r="B25" s="3" t="s">
        <v>37</v>
      </c>
      <c r="C25" s="17" t="s">
        <v>0</v>
      </c>
      <c r="D25" s="17" t="s">
        <v>15</v>
      </c>
      <c r="E25" s="19">
        <v>5</v>
      </c>
      <c r="F25" s="26"/>
      <c r="G25" s="26"/>
      <c r="H25" s="26"/>
      <c r="I25" s="26"/>
      <c r="J25" s="21">
        <f>(E25*F25)+(E25*G25/2)+((E25+E25*25/100)*H25)+(E25*I25*0.8)</f>
        <v>0</v>
      </c>
      <c r="K25" s="22"/>
      <c r="L25" s="22"/>
    </row>
    <row r="26" spans="1:15" ht="10.8" thickBot="1" x14ac:dyDescent="0.25">
      <c r="A26" s="41"/>
      <c r="B26" s="42"/>
      <c r="C26" s="43" t="s">
        <v>0</v>
      </c>
      <c r="D26" s="43" t="s">
        <v>16</v>
      </c>
      <c r="E26" s="58">
        <v>10</v>
      </c>
      <c r="F26" s="53"/>
      <c r="G26" s="53"/>
      <c r="H26" s="53"/>
      <c r="I26" s="53"/>
      <c r="J26" s="40">
        <f>(E26*F26)+(E26*G26/2)+((E26+E26*25/100)*H26)+(E26*I26*0.8)</f>
        <v>0</v>
      </c>
      <c r="K26" s="40">
        <v>0</v>
      </c>
      <c r="L26" s="40">
        <f>SUM(J25:J26)</f>
        <v>0</v>
      </c>
    </row>
    <row r="27" spans="1:15" x14ac:dyDescent="0.2">
      <c r="A27" s="18" t="s">
        <v>36</v>
      </c>
      <c r="B27" s="3" t="s">
        <v>26</v>
      </c>
      <c r="C27" s="17" t="s">
        <v>1</v>
      </c>
      <c r="D27" s="17" t="s">
        <v>15</v>
      </c>
      <c r="E27" s="19">
        <v>30</v>
      </c>
      <c r="F27" s="20"/>
      <c r="G27" s="20"/>
      <c r="H27" s="20"/>
      <c r="I27" s="20"/>
      <c r="J27" s="38">
        <f>(E27*F27)+(E27*G27/2)+((E27+E27*25/100)*H27)+(E36*I27*0.8)</f>
        <v>0</v>
      </c>
      <c r="K27" s="19"/>
      <c r="L27" s="22"/>
      <c r="M27" s="4">
        <f>SUM(F27:H27)</f>
        <v>0</v>
      </c>
      <c r="N27" s="4" t="e">
        <f>SUM(F28:H32)+#REF!</f>
        <v>#REF!</v>
      </c>
      <c r="O27" s="4">
        <f>SUM(F33:H36)</f>
        <v>0</v>
      </c>
    </row>
    <row r="28" spans="1:15" x14ac:dyDescent="0.2">
      <c r="A28" s="18"/>
      <c r="B28" s="3"/>
      <c r="C28" s="17" t="s">
        <v>0</v>
      </c>
      <c r="D28" s="17" t="s">
        <v>15</v>
      </c>
      <c r="E28" s="19">
        <v>5</v>
      </c>
      <c r="F28" s="26"/>
      <c r="G28" s="26"/>
      <c r="H28" s="26"/>
      <c r="I28" s="26"/>
      <c r="J28" s="21">
        <f>(E28*F28)+(E28*G28/2)+((E28+E28*25/100)*H28)+(E28*I28*0.8)</f>
        <v>0</v>
      </c>
      <c r="K28" s="19"/>
      <c r="L28" s="22"/>
    </row>
    <row r="29" spans="1:15" x14ac:dyDescent="0.2">
      <c r="A29" s="18"/>
      <c r="B29" s="3"/>
      <c r="C29" s="17" t="s">
        <v>0</v>
      </c>
      <c r="D29" s="17" t="s">
        <v>16</v>
      </c>
      <c r="E29" s="19">
        <v>10</v>
      </c>
      <c r="F29" s="26"/>
      <c r="G29" s="26"/>
      <c r="H29" s="26"/>
      <c r="I29" s="26"/>
      <c r="J29" s="21">
        <f>(E29*F29)+(E29*G29/2)+((E29+E29*25/100)*H29)+(E29*I29*0.8)</f>
        <v>0</v>
      </c>
      <c r="K29" s="19"/>
      <c r="L29" s="22"/>
    </row>
    <row r="30" spans="1:15" x14ac:dyDescent="0.2">
      <c r="A30" s="18"/>
      <c r="B30" s="3"/>
      <c r="C30" s="17" t="s">
        <v>0</v>
      </c>
      <c r="D30" s="17" t="s">
        <v>17</v>
      </c>
      <c r="E30" s="19">
        <v>20</v>
      </c>
      <c r="F30" s="26"/>
      <c r="G30" s="26"/>
      <c r="H30" s="26"/>
      <c r="I30" s="26"/>
      <c r="J30" s="21">
        <f>(E30*F30)+(E30*G30/2)+((E30+E30*25/100)*H30)+(E30*I30*0.8)</f>
        <v>0</v>
      </c>
      <c r="K30" s="19"/>
      <c r="L30" s="22"/>
    </row>
    <row r="31" spans="1:15" x14ac:dyDescent="0.2">
      <c r="A31" s="18"/>
      <c r="B31" s="3"/>
      <c r="C31" s="17" t="s">
        <v>0</v>
      </c>
      <c r="D31" s="17" t="s">
        <v>18</v>
      </c>
      <c r="E31" s="19">
        <v>28</v>
      </c>
      <c r="F31" s="26"/>
      <c r="G31" s="26"/>
      <c r="H31" s="26"/>
      <c r="I31" s="26"/>
      <c r="J31" s="21">
        <f>(E31*F31)+(E31*G31/2)+((E31+E31*25/100)*H31)+(E31*I31*0.8)</f>
        <v>0</v>
      </c>
      <c r="K31" s="19"/>
      <c r="L31" s="22"/>
    </row>
    <row r="32" spans="1:15" x14ac:dyDescent="0.2">
      <c r="A32" s="18"/>
      <c r="B32" s="3"/>
      <c r="C32" s="17" t="s">
        <v>0</v>
      </c>
      <c r="D32" s="17" t="s">
        <v>19</v>
      </c>
      <c r="E32" s="19">
        <v>38</v>
      </c>
      <c r="F32" s="26"/>
      <c r="G32" s="26"/>
      <c r="H32" s="26"/>
      <c r="I32" s="26"/>
      <c r="J32" s="21">
        <f>(E32*F32)+(E32*G32/2)+((E32+E32*25/100)*H32)+(E32*I32*0.8)</f>
        <v>0</v>
      </c>
      <c r="K32" s="22"/>
      <c r="L32" s="22"/>
    </row>
    <row r="33" spans="1:15" x14ac:dyDescent="0.2">
      <c r="A33" s="18"/>
      <c r="B33" s="3"/>
      <c r="C33" s="17" t="s">
        <v>2</v>
      </c>
      <c r="D33" s="17" t="s">
        <v>15</v>
      </c>
      <c r="E33" s="19">
        <v>10</v>
      </c>
      <c r="F33" s="26"/>
      <c r="G33" s="26"/>
      <c r="H33" s="26"/>
      <c r="I33" s="26"/>
      <c r="J33" s="21">
        <f>(E33*F33)+(E33*G33/2)+((E33+E33*25/100)*H33)+(E36*I33*0.8)</f>
        <v>0</v>
      </c>
      <c r="K33" s="22"/>
      <c r="L33" s="22"/>
    </row>
    <row r="34" spans="1:15" x14ac:dyDescent="0.2">
      <c r="A34" s="18"/>
      <c r="B34" s="3"/>
      <c r="C34" s="17" t="s">
        <v>2</v>
      </c>
      <c r="D34" s="17" t="s">
        <v>16</v>
      </c>
      <c r="E34" s="19">
        <v>15</v>
      </c>
      <c r="F34" s="26"/>
      <c r="G34" s="26"/>
      <c r="H34" s="26"/>
      <c r="I34" s="26"/>
      <c r="J34" s="21">
        <f>(E34*F34)+(E34*G34/2)+((E34+E34*25/100)*H34)+(E36*I34*0.8)</f>
        <v>0</v>
      </c>
      <c r="K34" s="22"/>
      <c r="L34" s="22"/>
    </row>
    <row r="35" spans="1:15" x14ac:dyDescent="0.2">
      <c r="A35" s="18"/>
      <c r="B35" s="3"/>
      <c r="C35" s="17" t="s">
        <v>2</v>
      </c>
      <c r="D35" s="17" t="s">
        <v>17</v>
      </c>
      <c r="E35" s="19">
        <v>18</v>
      </c>
      <c r="F35" s="26"/>
      <c r="G35" s="26"/>
      <c r="H35" s="26"/>
      <c r="I35" s="26"/>
      <c r="J35" s="21">
        <f>(E35*F35)+(E35*G35/2)+((E35+E35*25/100)*H35)+(E36*I35*0.8)</f>
        <v>0</v>
      </c>
      <c r="K35" s="22"/>
      <c r="L35" s="22"/>
    </row>
    <row r="36" spans="1:15" ht="10.8" thickBot="1" x14ac:dyDescent="0.25">
      <c r="A36" s="41"/>
      <c r="B36" s="42"/>
      <c r="C36" s="43" t="s">
        <v>2</v>
      </c>
      <c r="D36" s="43" t="s">
        <v>18</v>
      </c>
      <c r="E36" s="44">
        <v>24</v>
      </c>
      <c r="F36" s="53"/>
      <c r="G36" s="53"/>
      <c r="H36" s="53"/>
      <c r="I36" s="53"/>
      <c r="J36" s="40">
        <f>(E36*F36)+(E36*G36/2)+((E36+E36*25/100)*H36)+(E36*I36*0.8)</f>
        <v>0</v>
      </c>
      <c r="K36" s="40">
        <v>0</v>
      </c>
      <c r="L36" s="40">
        <f>SUM(J27:J36)</f>
        <v>0</v>
      </c>
    </row>
    <row r="37" spans="1:15" x14ac:dyDescent="0.2">
      <c r="A37" s="18" t="s">
        <v>36</v>
      </c>
      <c r="B37" s="3" t="s">
        <v>20</v>
      </c>
      <c r="C37" s="17" t="s">
        <v>1</v>
      </c>
      <c r="D37" s="17" t="s">
        <v>15</v>
      </c>
      <c r="E37" s="19">
        <v>30</v>
      </c>
      <c r="F37" s="20"/>
      <c r="G37" s="20"/>
      <c r="H37" s="20"/>
      <c r="I37" s="20"/>
      <c r="J37" s="38">
        <f>(E37*F37)+(E37*G37/2)+((E37+E37*25/100)*H37)+(E46*I37*0.8)</f>
        <v>0</v>
      </c>
      <c r="K37" s="19"/>
      <c r="L37" s="22"/>
      <c r="M37" s="4">
        <f>SUM(F37:H37)</f>
        <v>0</v>
      </c>
      <c r="N37" s="4" t="e">
        <f>SUM(F38:H42)+#REF!</f>
        <v>#REF!</v>
      </c>
      <c r="O37" s="4">
        <f>SUM(F43:H46)</f>
        <v>0</v>
      </c>
    </row>
    <row r="38" spans="1:15" x14ac:dyDescent="0.2">
      <c r="A38" s="18"/>
      <c r="B38" s="3"/>
      <c r="C38" s="17" t="s">
        <v>0</v>
      </c>
      <c r="D38" s="17" t="s">
        <v>15</v>
      </c>
      <c r="E38" s="19">
        <v>5</v>
      </c>
      <c r="F38" s="26"/>
      <c r="G38" s="26"/>
      <c r="H38" s="26"/>
      <c r="I38" s="26"/>
      <c r="J38" s="21">
        <f>(E38*F38)+(E38*G38/2)+((E38+E38*25/100)*H38)+(E38*I38*0.8)</f>
        <v>0</v>
      </c>
      <c r="K38" s="19"/>
      <c r="L38" s="22"/>
    </row>
    <row r="39" spans="1:15" x14ac:dyDescent="0.2">
      <c r="A39" s="18"/>
      <c r="B39" s="3"/>
      <c r="C39" s="17" t="s">
        <v>0</v>
      </c>
      <c r="D39" s="17" t="s">
        <v>16</v>
      </c>
      <c r="E39" s="19">
        <v>10</v>
      </c>
      <c r="F39" s="26"/>
      <c r="G39" s="26"/>
      <c r="H39" s="26"/>
      <c r="I39" s="26"/>
      <c r="J39" s="21">
        <f>(E39*F39)+(E39*G39/2)+((E39+E39*25/100)*H39)+(E39*I39*0.8)</f>
        <v>0</v>
      </c>
      <c r="K39" s="19"/>
      <c r="L39" s="22"/>
    </row>
    <row r="40" spans="1:15" x14ac:dyDescent="0.2">
      <c r="A40" s="18"/>
      <c r="B40" s="3"/>
      <c r="C40" s="17" t="s">
        <v>0</v>
      </c>
      <c r="D40" s="17" t="s">
        <v>17</v>
      </c>
      <c r="E40" s="19">
        <v>20</v>
      </c>
      <c r="F40" s="26"/>
      <c r="G40" s="26"/>
      <c r="H40" s="26"/>
      <c r="I40" s="26"/>
      <c r="J40" s="21">
        <f>(E40*F40)+(E40*G40/2)+((E40+E40*25/100)*H40)+(E40*I40*0.8)</f>
        <v>0</v>
      </c>
      <c r="K40" s="19"/>
      <c r="L40" s="22"/>
    </row>
    <row r="41" spans="1:15" x14ac:dyDescent="0.2">
      <c r="A41" s="18"/>
      <c r="B41" s="3"/>
      <c r="C41" s="17" t="s">
        <v>0</v>
      </c>
      <c r="D41" s="17" t="s">
        <v>18</v>
      </c>
      <c r="E41" s="19">
        <v>28</v>
      </c>
      <c r="F41" s="26"/>
      <c r="G41" s="26"/>
      <c r="H41" s="26"/>
      <c r="I41" s="26"/>
      <c r="J41" s="21">
        <f>(E41*F41)+(E41*G41/2)+((E41+E41*25/100)*H41)+(E41*I41*0.8)</f>
        <v>0</v>
      </c>
      <c r="K41" s="19"/>
      <c r="L41" s="22"/>
    </row>
    <row r="42" spans="1:15" x14ac:dyDescent="0.2">
      <c r="A42" s="18"/>
      <c r="B42" s="3"/>
      <c r="C42" s="17" t="s">
        <v>0</v>
      </c>
      <c r="D42" s="17" t="s">
        <v>19</v>
      </c>
      <c r="E42" s="19">
        <v>38</v>
      </c>
      <c r="F42" s="26"/>
      <c r="G42" s="26"/>
      <c r="H42" s="26"/>
      <c r="I42" s="26"/>
      <c r="J42" s="21">
        <f>(E42*F42)+(E42*G42/2)+((E42+E42*25/100)*H42)+(E42*I42*0.8)</f>
        <v>0</v>
      </c>
      <c r="K42" s="22"/>
      <c r="L42" s="22"/>
    </row>
    <row r="43" spans="1:15" x14ac:dyDescent="0.2">
      <c r="A43" s="18"/>
      <c r="B43" s="3"/>
      <c r="C43" s="17" t="s">
        <v>2</v>
      </c>
      <c r="D43" s="17" t="s">
        <v>15</v>
      </c>
      <c r="E43" s="19">
        <v>10</v>
      </c>
      <c r="F43" s="26"/>
      <c r="G43" s="26"/>
      <c r="H43" s="26"/>
      <c r="I43" s="26"/>
      <c r="J43" s="21">
        <f>(E43*F43)+(E43*G43/2)+((E43+E43*25/100)*H43)+(E46*I43*0.8)</f>
        <v>0</v>
      </c>
      <c r="K43" s="22"/>
      <c r="L43" s="22"/>
    </row>
    <row r="44" spans="1:15" x14ac:dyDescent="0.2">
      <c r="A44" s="18"/>
      <c r="B44" s="3"/>
      <c r="C44" s="17" t="s">
        <v>2</v>
      </c>
      <c r="D44" s="17" t="s">
        <v>16</v>
      </c>
      <c r="E44" s="19">
        <v>15</v>
      </c>
      <c r="F44" s="26"/>
      <c r="G44" s="26"/>
      <c r="H44" s="26"/>
      <c r="I44" s="26"/>
      <c r="J44" s="21">
        <f>(E44*F44)+(E44*G44/2)+((E44+E44*25/100)*H44)+(E46*I44*0.8)</f>
        <v>0</v>
      </c>
      <c r="K44" s="22"/>
      <c r="L44" s="22"/>
    </row>
    <row r="45" spans="1:15" x14ac:dyDescent="0.2">
      <c r="A45" s="18"/>
      <c r="B45" s="3"/>
      <c r="C45" s="17" t="s">
        <v>2</v>
      </c>
      <c r="D45" s="17" t="s">
        <v>17</v>
      </c>
      <c r="E45" s="19">
        <v>18</v>
      </c>
      <c r="F45" s="26"/>
      <c r="G45" s="26"/>
      <c r="H45" s="26"/>
      <c r="I45" s="26"/>
      <c r="J45" s="21">
        <f>(E45*F45)+(E45*G45/2)+((E45+E45*25/100)*H45)+(E46*I45*0.8)</f>
        <v>0</v>
      </c>
      <c r="K45" s="22"/>
      <c r="L45" s="22"/>
    </row>
    <row r="46" spans="1:15" ht="10.8" thickBot="1" x14ac:dyDescent="0.25">
      <c r="A46" s="41"/>
      <c r="B46" s="42"/>
      <c r="C46" s="43" t="s">
        <v>2</v>
      </c>
      <c r="D46" s="43" t="s">
        <v>18</v>
      </c>
      <c r="E46" s="44">
        <v>24</v>
      </c>
      <c r="F46" s="53"/>
      <c r="G46" s="53"/>
      <c r="H46" s="53"/>
      <c r="I46" s="53"/>
      <c r="J46" s="40">
        <f>(E46*F46)+(E46*G46/2)+((E46+E46*25/100)*H46)+(E46*I46*0.8)</f>
        <v>0</v>
      </c>
      <c r="K46" s="40">
        <v>0</v>
      </c>
      <c r="L46" s="40">
        <f>SUM(J37:J46)</f>
        <v>0</v>
      </c>
    </row>
    <row r="47" spans="1:15" x14ac:dyDescent="0.2">
      <c r="A47" s="18" t="s">
        <v>36</v>
      </c>
      <c r="B47" s="17" t="s">
        <v>46</v>
      </c>
      <c r="C47" s="17" t="s">
        <v>1</v>
      </c>
      <c r="D47" s="17" t="s">
        <v>15</v>
      </c>
      <c r="E47" s="19">
        <v>30</v>
      </c>
      <c r="F47" s="20"/>
      <c r="G47" s="20"/>
      <c r="H47" s="20"/>
      <c r="I47" s="20"/>
      <c r="J47" s="38">
        <f>(E47*F47)+(E47*G47/2)+((E47+E47*25/100)*H47)+(E56*I47*0.8)</f>
        <v>0</v>
      </c>
      <c r="K47" s="19"/>
      <c r="L47" s="22"/>
    </row>
    <row r="48" spans="1:15" x14ac:dyDescent="0.2">
      <c r="A48" s="18"/>
      <c r="B48" s="18"/>
      <c r="C48" s="17" t="s">
        <v>0</v>
      </c>
      <c r="D48" s="17" t="s">
        <v>15</v>
      </c>
      <c r="E48" s="19">
        <v>5</v>
      </c>
      <c r="F48" s="26"/>
      <c r="G48" s="26"/>
      <c r="H48" s="26"/>
      <c r="I48" s="26"/>
      <c r="J48" s="21">
        <f>(E48*F48)+(E48*G48/2)+((E48+E48*25/100)*H48)+(E48*I48*0.8)</f>
        <v>0</v>
      </c>
      <c r="K48" s="19"/>
      <c r="L48" s="22"/>
    </row>
    <row r="49" spans="1:12" x14ac:dyDescent="0.2">
      <c r="A49" s="18"/>
      <c r="B49" s="18"/>
      <c r="C49" s="17" t="s">
        <v>0</v>
      </c>
      <c r="D49" s="17" t="s">
        <v>16</v>
      </c>
      <c r="E49" s="19">
        <v>10</v>
      </c>
      <c r="F49" s="26"/>
      <c r="G49" s="26"/>
      <c r="H49" s="26"/>
      <c r="I49" s="26"/>
      <c r="J49" s="21">
        <f>(E49*F49)+(E49*G49/2)+((E49+E49*25/100)*H49)+(E49*I49*0.8)</f>
        <v>0</v>
      </c>
      <c r="K49" s="19"/>
      <c r="L49" s="22"/>
    </row>
    <row r="50" spans="1:12" x14ac:dyDescent="0.2">
      <c r="A50" s="18"/>
      <c r="B50" s="18"/>
      <c r="C50" s="17" t="s">
        <v>0</v>
      </c>
      <c r="D50" s="17" t="s">
        <v>17</v>
      </c>
      <c r="E50" s="19">
        <v>20</v>
      </c>
      <c r="F50" s="26"/>
      <c r="G50" s="26"/>
      <c r="H50" s="26"/>
      <c r="I50" s="26"/>
      <c r="J50" s="21">
        <f>(E50*F50)+(E50*G50/2)+((E50+E50*25/100)*H50)+(E50*I50*0.8)</f>
        <v>0</v>
      </c>
      <c r="K50" s="19"/>
      <c r="L50" s="22"/>
    </row>
    <row r="51" spans="1:12" x14ac:dyDescent="0.2">
      <c r="A51" s="18"/>
      <c r="B51" s="18"/>
      <c r="C51" s="17" t="s">
        <v>0</v>
      </c>
      <c r="D51" s="17" t="s">
        <v>18</v>
      </c>
      <c r="E51" s="19">
        <v>28</v>
      </c>
      <c r="F51" s="26"/>
      <c r="G51" s="26"/>
      <c r="H51" s="26"/>
      <c r="I51" s="26"/>
      <c r="J51" s="21">
        <f>(E51*F51)+(E51*G51/2)+((E51+E51*25/100)*H51)+(E51*I51*0.8)</f>
        <v>0</v>
      </c>
      <c r="K51" s="19"/>
      <c r="L51" s="22"/>
    </row>
    <row r="52" spans="1:12" x14ac:dyDescent="0.2">
      <c r="A52" s="18"/>
      <c r="B52" s="18"/>
      <c r="C52" s="17" t="s">
        <v>0</v>
      </c>
      <c r="D52" s="17" t="s">
        <v>19</v>
      </c>
      <c r="E52" s="19">
        <v>38</v>
      </c>
      <c r="F52" s="26"/>
      <c r="G52" s="26"/>
      <c r="H52" s="26"/>
      <c r="I52" s="26"/>
      <c r="J52" s="21">
        <f>(E52*F52)+(E52*G52/2)+((E52+E52*25/100)*H52)+(E52*I52*0.8)</f>
        <v>0</v>
      </c>
      <c r="K52" s="22"/>
      <c r="L52" s="22"/>
    </row>
    <row r="53" spans="1:12" x14ac:dyDescent="0.2">
      <c r="A53" s="18"/>
      <c r="B53" s="18"/>
      <c r="C53" s="17" t="s">
        <v>2</v>
      </c>
      <c r="D53" s="17" t="s">
        <v>15</v>
      </c>
      <c r="E53" s="19">
        <v>10</v>
      </c>
      <c r="F53" s="26"/>
      <c r="G53" s="26"/>
      <c r="H53" s="26"/>
      <c r="I53" s="26"/>
      <c r="J53" s="21">
        <f>(E53*F53)+(E53*G53/2)+((E53+E53*25/100)*H53)+(E56*I53*0.8)</f>
        <v>0</v>
      </c>
      <c r="K53" s="22"/>
      <c r="L53" s="22"/>
    </row>
    <row r="54" spans="1:12" x14ac:dyDescent="0.2">
      <c r="A54" s="18"/>
      <c r="B54" s="18"/>
      <c r="C54" s="17" t="s">
        <v>2</v>
      </c>
      <c r="D54" s="17" t="s">
        <v>16</v>
      </c>
      <c r="E54" s="19">
        <v>15</v>
      </c>
      <c r="F54" s="26"/>
      <c r="G54" s="26"/>
      <c r="H54" s="26"/>
      <c r="I54" s="26"/>
      <c r="J54" s="21">
        <f>(E54*F54)+(E54*G54/2)+((E54+E54*25/100)*H54)+(E56*I54*0.8)</f>
        <v>0</v>
      </c>
      <c r="K54" s="22"/>
      <c r="L54" s="22"/>
    </row>
    <row r="55" spans="1:12" x14ac:dyDescent="0.2">
      <c r="A55" s="18"/>
      <c r="B55" s="18"/>
      <c r="C55" s="17" t="s">
        <v>2</v>
      </c>
      <c r="D55" s="17" t="s">
        <v>17</v>
      </c>
      <c r="E55" s="19">
        <v>18</v>
      </c>
      <c r="F55" s="26"/>
      <c r="G55" s="26"/>
      <c r="H55" s="26"/>
      <c r="I55" s="26"/>
      <c r="J55" s="21">
        <f>(E55*F55)+(E55*G55/2)+((E55+E55*25/100)*H55)+(E56*I55*0.8)</f>
        <v>0</v>
      </c>
      <c r="K55" s="22"/>
      <c r="L55" s="22"/>
    </row>
    <row r="56" spans="1:12" ht="10.8" thickBot="1" x14ac:dyDescent="0.25">
      <c r="A56" s="41"/>
      <c r="B56" s="41"/>
      <c r="C56" s="43" t="s">
        <v>2</v>
      </c>
      <c r="D56" s="43" t="s">
        <v>18</v>
      </c>
      <c r="E56" s="44">
        <v>24</v>
      </c>
      <c r="F56" s="53"/>
      <c r="G56" s="53"/>
      <c r="H56" s="53"/>
      <c r="I56" s="53"/>
      <c r="J56" s="40">
        <f>(E56*F56)+(E56*G56/2)+((E56+E56*25/100)*H56)+(E56*I56*0.8)</f>
        <v>0</v>
      </c>
      <c r="K56" s="40">
        <v>0</v>
      </c>
      <c r="L56" s="40">
        <f>SUM(J47:J56)</f>
        <v>0</v>
      </c>
    </row>
    <row r="57" spans="1:12" x14ac:dyDescent="0.2">
      <c r="A57" s="18" t="s">
        <v>36</v>
      </c>
      <c r="B57" s="3" t="s">
        <v>21</v>
      </c>
      <c r="C57" s="17" t="s">
        <v>1</v>
      </c>
      <c r="D57" s="17" t="s">
        <v>15</v>
      </c>
      <c r="E57" s="19">
        <v>30</v>
      </c>
      <c r="F57" s="20"/>
      <c r="G57" s="20"/>
      <c r="H57" s="20"/>
      <c r="I57" s="20"/>
      <c r="J57" s="38">
        <f>(E57*F57)+(E57*G57/2)+((E57+E57*25/100)*H57)+(E66*I57*0.8)</f>
        <v>0</v>
      </c>
      <c r="K57" s="19"/>
      <c r="L57" s="22"/>
    </row>
    <row r="58" spans="1:12" x14ac:dyDescent="0.2">
      <c r="A58" s="18"/>
      <c r="B58" s="17"/>
      <c r="C58" s="17" t="s">
        <v>0</v>
      </c>
      <c r="D58" s="17" t="s">
        <v>15</v>
      </c>
      <c r="E58" s="19">
        <v>5</v>
      </c>
      <c r="F58" s="26"/>
      <c r="G58" s="26"/>
      <c r="H58" s="26"/>
      <c r="I58" s="26"/>
      <c r="J58" s="21">
        <f>(E58*F58)+(E58*G58/2)+((E58+E58*25/100)*H58)+(E58*I58*0.8)</f>
        <v>0</v>
      </c>
      <c r="K58" s="19"/>
      <c r="L58" s="22"/>
    </row>
    <row r="59" spans="1:12" x14ac:dyDescent="0.2">
      <c r="A59" s="18"/>
      <c r="B59" s="3"/>
      <c r="C59" s="17" t="s">
        <v>0</v>
      </c>
      <c r="D59" s="17" t="s">
        <v>16</v>
      </c>
      <c r="E59" s="19">
        <v>10</v>
      </c>
      <c r="F59" s="26"/>
      <c r="G59" s="26"/>
      <c r="H59" s="26"/>
      <c r="I59" s="26"/>
      <c r="J59" s="21">
        <f>(E59*F59)+(E59*G59/2)+((E59+E59*25/100)*H59)+(E59*I59*0.8)</f>
        <v>0</v>
      </c>
      <c r="K59" s="19"/>
      <c r="L59" s="22"/>
    </row>
    <row r="60" spans="1:12" x14ac:dyDescent="0.2">
      <c r="A60" s="18"/>
      <c r="B60" s="3"/>
      <c r="C60" s="17" t="s">
        <v>0</v>
      </c>
      <c r="D60" s="17" t="s">
        <v>17</v>
      </c>
      <c r="E60" s="19">
        <v>20</v>
      </c>
      <c r="F60" s="26"/>
      <c r="G60" s="26"/>
      <c r="H60" s="26"/>
      <c r="I60" s="26"/>
      <c r="J60" s="21">
        <f>(E60*F60)+(E60*G60/2)+((E60+E60*25/100)*H60)+(E60*I60*0.8)</f>
        <v>0</v>
      </c>
      <c r="K60" s="19"/>
      <c r="L60" s="22"/>
    </row>
    <row r="61" spans="1:12" x14ac:dyDescent="0.2">
      <c r="A61" s="18"/>
      <c r="B61" s="3"/>
      <c r="C61" s="17" t="s">
        <v>0</v>
      </c>
      <c r="D61" s="17" t="s">
        <v>18</v>
      </c>
      <c r="E61" s="19">
        <v>28</v>
      </c>
      <c r="F61" s="26"/>
      <c r="G61" s="26"/>
      <c r="H61" s="26"/>
      <c r="I61" s="26"/>
      <c r="J61" s="21">
        <f>(E61*F61)+(E61*G61/2)+((E61+E61*25/100)*H61)+(E61*I61*0.8)</f>
        <v>0</v>
      </c>
      <c r="K61" s="19"/>
      <c r="L61" s="22"/>
    </row>
    <row r="62" spans="1:12" x14ac:dyDescent="0.2">
      <c r="A62" s="18"/>
      <c r="B62" s="3"/>
      <c r="C62" s="17" t="s">
        <v>0</v>
      </c>
      <c r="D62" s="17" t="s">
        <v>19</v>
      </c>
      <c r="E62" s="19">
        <v>38</v>
      </c>
      <c r="F62" s="26"/>
      <c r="G62" s="26"/>
      <c r="H62" s="26"/>
      <c r="I62" s="26"/>
      <c r="J62" s="21">
        <f>(E62*F62)+(E62*G62/2)+((E62+E62*25/100)*H62)+(E62*I62*0.8)</f>
        <v>0</v>
      </c>
      <c r="K62" s="22"/>
      <c r="L62" s="22"/>
    </row>
    <row r="63" spans="1:12" x14ac:dyDescent="0.2">
      <c r="A63" s="18"/>
      <c r="B63" s="3"/>
      <c r="C63" s="17" t="s">
        <v>2</v>
      </c>
      <c r="D63" s="17" t="s">
        <v>15</v>
      </c>
      <c r="E63" s="19">
        <v>10</v>
      </c>
      <c r="F63" s="26"/>
      <c r="G63" s="26"/>
      <c r="H63" s="26"/>
      <c r="I63" s="26"/>
      <c r="J63" s="21">
        <f>(E63*F63)+(E63*G63/2)+((E63+E63*25/100)*H63)+(E66*I63*0.8)</f>
        <v>0</v>
      </c>
      <c r="K63" s="22"/>
      <c r="L63" s="22"/>
    </row>
    <row r="64" spans="1:12" x14ac:dyDescent="0.2">
      <c r="A64" s="18"/>
      <c r="B64" s="3"/>
      <c r="C64" s="17" t="s">
        <v>2</v>
      </c>
      <c r="D64" s="17" t="s">
        <v>16</v>
      </c>
      <c r="E64" s="19">
        <v>15</v>
      </c>
      <c r="F64" s="26"/>
      <c r="G64" s="26"/>
      <c r="H64" s="26"/>
      <c r="I64" s="26"/>
      <c r="J64" s="21">
        <f>(E64*F64)+(E64*G64/2)+((E64+E64*25/100)*H64)+(E66*I64*0.8)</f>
        <v>0</v>
      </c>
      <c r="K64" s="22"/>
      <c r="L64" s="22"/>
    </row>
    <row r="65" spans="1:15" x14ac:dyDescent="0.2">
      <c r="A65" s="18"/>
      <c r="B65" s="3"/>
      <c r="C65" s="17" t="s">
        <v>2</v>
      </c>
      <c r="D65" s="17" t="s">
        <v>17</v>
      </c>
      <c r="E65" s="19">
        <v>18</v>
      </c>
      <c r="F65" s="26"/>
      <c r="G65" s="26"/>
      <c r="H65" s="26"/>
      <c r="I65" s="26"/>
      <c r="J65" s="21">
        <f>(E65*F65)+(E65*G65/2)+((E65+E65*25/100)*H65)+(E66*I65*0.8)</f>
        <v>0</v>
      </c>
      <c r="K65" s="22"/>
      <c r="L65" s="22"/>
    </row>
    <row r="66" spans="1:15" ht="10.8" thickBot="1" x14ac:dyDescent="0.25">
      <c r="A66" s="27"/>
      <c r="B66" s="32"/>
      <c r="C66" s="28" t="s">
        <v>2</v>
      </c>
      <c r="D66" s="28" t="s">
        <v>18</v>
      </c>
      <c r="E66" s="29">
        <v>24</v>
      </c>
      <c r="F66" s="30"/>
      <c r="G66" s="30"/>
      <c r="H66" s="30"/>
      <c r="I66" s="30"/>
      <c r="J66" s="31">
        <f>(E66*F66)+(E66*G66/2)+((E66+E66*25/100)*H66)+(E66*I66*0.8)</f>
        <v>0</v>
      </c>
      <c r="K66" s="31">
        <v>0</v>
      </c>
      <c r="L66" s="31">
        <f>SUM(J57:J66)</f>
        <v>0</v>
      </c>
    </row>
    <row r="67" spans="1:15" ht="21.6" thickTop="1" thickBot="1" x14ac:dyDescent="0.25">
      <c r="A67" s="12" t="s">
        <v>6</v>
      </c>
      <c r="B67" s="39" t="s">
        <v>7</v>
      </c>
      <c r="C67" s="14" t="s">
        <v>8</v>
      </c>
      <c r="D67" s="14" t="s">
        <v>9</v>
      </c>
      <c r="E67" s="14" t="s">
        <v>10</v>
      </c>
      <c r="F67" s="14" t="s">
        <v>11</v>
      </c>
      <c r="G67" s="14" t="s">
        <v>12</v>
      </c>
      <c r="H67" s="14" t="s">
        <v>28</v>
      </c>
      <c r="I67" s="14" t="s">
        <v>30</v>
      </c>
      <c r="J67" s="15" t="s">
        <v>13</v>
      </c>
      <c r="K67" s="15" t="s">
        <v>31</v>
      </c>
      <c r="L67" s="16" t="s">
        <v>14</v>
      </c>
    </row>
    <row r="68" spans="1:15" x14ac:dyDescent="0.2">
      <c r="A68" s="18" t="s">
        <v>36</v>
      </c>
      <c r="B68" s="3" t="s">
        <v>52</v>
      </c>
      <c r="C68" s="17" t="s">
        <v>1</v>
      </c>
      <c r="D68" s="17" t="s">
        <v>15</v>
      </c>
      <c r="E68" s="19">
        <v>30</v>
      </c>
      <c r="F68" s="20"/>
      <c r="G68" s="20"/>
      <c r="H68" s="20"/>
      <c r="I68" s="20"/>
      <c r="J68" s="21">
        <f>(E68*F68)+(E68*G68/2)+((E68+E68*25/100)*H68)+(E77*I68*0.8)</f>
        <v>0</v>
      </c>
      <c r="K68" s="19"/>
      <c r="L68" s="22"/>
      <c r="M68" s="4">
        <f>SUM(F68:H68)</f>
        <v>0</v>
      </c>
      <c r="N68" s="4" t="e">
        <f>SUM(F69:H73)+#REF!</f>
        <v>#REF!</v>
      </c>
      <c r="O68" s="4">
        <f>SUM(F74:H77)</f>
        <v>0</v>
      </c>
    </row>
    <row r="69" spans="1:15" x14ac:dyDescent="0.2">
      <c r="A69" s="18"/>
      <c r="B69" s="3"/>
      <c r="C69" s="17" t="s">
        <v>0</v>
      </c>
      <c r="D69" s="17" t="s">
        <v>15</v>
      </c>
      <c r="E69" s="19">
        <v>5</v>
      </c>
      <c r="F69" s="26"/>
      <c r="G69" s="26"/>
      <c r="H69" s="26"/>
      <c r="I69" s="26"/>
      <c r="J69" s="21">
        <f>(E69*F69)+(E69*G69/2)+((E69+E69*25/100)*H69)+(E69*I69*0.8)</f>
        <v>0</v>
      </c>
      <c r="K69" s="19"/>
      <c r="L69" s="22"/>
    </row>
    <row r="70" spans="1:15" x14ac:dyDescent="0.2">
      <c r="A70" s="18"/>
      <c r="B70" s="3"/>
      <c r="C70" s="17" t="s">
        <v>0</v>
      </c>
      <c r="D70" s="17" t="s">
        <v>16</v>
      </c>
      <c r="E70" s="19">
        <v>10</v>
      </c>
      <c r="F70" s="26"/>
      <c r="G70" s="26"/>
      <c r="H70" s="26"/>
      <c r="I70" s="26"/>
      <c r="J70" s="21">
        <f>(E70*F70)+(E70*G70/2)+((E70+E70*25/100)*H70)+(E70*I70*0.8)</f>
        <v>0</v>
      </c>
      <c r="K70" s="19"/>
      <c r="L70" s="22"/>
    </row>
    <row r="71" spans="1:15" x14ac:dyDescent="0.2">
      <c r="A71" s="18"/>
      <c r="B71" s="3"/>
      <c r="C71" s="17" t="s">
        <v>0</v>
      </c>
      <c r="D71" s="17" t="s">
        <v>17</v>
      </c>
      <c r="E71" s="19">
        <v>20</v>
      </c>
      <c r="F71" s="26"/>
      <c r="G71" s="26"/>
      <c r="H71" s="26"/>
      <c r="I71" s="26"/>
      <c r="J71" s="21">
        <f>(E71*F71)+(E71*G71/2)+((E71+E71*25/100)*H71)+(E71*I71*0.8)</f>
        <v>0</v>
      </c>
      <c r="K71" s="19"/>
      <c r="L71" s="22"/>
    </row>
    <row r="72" spans="1:15" x14ac:dyDescent="0.2">
      <c r="A72" s="18"/>
      <c r="B72" s="3"/>
      <c r="C72" s="17" t="s">
        <v>0</v>
      </c>
      <c r="D72" s="17" t="s">
        <v>18</v>
      </c>
      <c r="E72" s="19">
        <v>28</v>
      </c>
      <c r="F72" s="26"/>
      <c r="G72" s="26"/>
      <c r="H72" s="26"/>
      <c r="I72" s="26"/>
      <c r="J72" s="21">
        <f>(E72*F72)+(E72*G72/2)+((E72+E72*25/100)*H72)+(E72*I72*0.8)</f>
        <v>0</v>
      </c>
      <c r="K72" s="19"/>
      <c r="L72" s="22"/>
    </row>
    <row r="73" spans="1:15" x14ac:dyDescent="0.2">
      <c r="A73" s="18"/>
      <c r="B73" s="3"/>
      <c r="C73" s="17" t="s">
        <v>0</v>
      </c>
      <c r="D73" s="17" t="s">
        <v>19</v>
      </c>
      <c r="E73" s="19">
        <v>38</v>
      </c>
      <c r="F73" s="26"/>
      <c r="G73" s="26"/>
      <c r="H73" s="26"/>
      <c r="I73" s="26"/>
      <c r="J73" s="21">
        <f>(E73*F73)+(E73*G73/2)+((E73+E73*25/100)*H73)+(E73*I73*0.8)</f>
        <v>0</v>
      </c>
      <c r="K73" s="22"/>
      <c r="L73" s="22"/>
    </row>
    <row r="74" spans="1:15" x14ac:dyDescent="0.2">
      <c r="A74" s="18"/>
      <c r="B74" s="3"/>
      <c r="C74" s="17" t="s">
        <v>2</v>
      </c>
      <c r="D74" s="17" t="s">
        <v>15</v>
      </c>
      <c r="E74" s="19">
        <v>10</v>
      </c>
      <c r="F74" s="26"/>
      <c r="G74" s="26"/>
      <c r="H74" s="26"/>
      <c r="I74" s="26"/>
      <c r="J74" s="21">
        <f>(E74*F74)+(E74*G74/2)+((E74+E74*25/100)*H74)+(E77*I74*0.8)</f>
        <v>0</v>
      </c>
      <c r="K74" s="22"/>
      <c r="L74" s="22"/>
    </row>
    <row r="75" spans="1:15" x14ac:dyDescent="0.2">
      <c r="A75" s="18"/>
      <c r="B75" s="3"/>
      <c r="C75" s="17" t="s">
        <v>2</v>
      </c>
      <c r="D75" s="17" t="s">
        <v>16</v>
      </c>
      <c r="E75" s="19">
        <v>15</v>
      </c>
      <c r="F75" s="26"/>
      <c r="G75" s="26"/>
      <c r="H75" s="26"/>
      <c r="I75" s="26"/>
      <c r="J75" s="21">
        <f>(E75*F75)+(E75*G75/2)+((E75+E75*25/100)*H75)+(E77*I75*0.8)</f>
        <v>0</v>
      </c>
      <c r="K75" s="22"/>
      <c r="L75" s="22"/>
    </row>
    <row r="76" spans="1:15" x14ac:dyDescent="0.2">
      <c r="A76" s="18"/>
      <c r="B76" s="3"/>
      <c r="C76" s="17" t="s">
        <v>2</v>
      </c>
      <c r="D76" s="17" t="s">
        <v>17</v>
      </c>
      <c r="E76" s="19">
        <v>18</v>
      </c>
      <c r="F76" s="26"/>
      <c r="G76" s="26"/>
      <c r="H76" s="26"/>
      <c r="I76" s="26"/>
      <c r="J76" s="21">
        <f>(E76*F76)+(E76*G76/2)+((E76+E76*25/100)*H76)+(E77*I76*0.8)</f>
        <v>0</v>
      </c>
      <c r="K76" s="22"/>
      <c r="L76" s="22"/>
    </row>
    <row r="77" spans="1:15" ht="10.8" thickBot="1" x14ac:dyDescent="0.25">
      <c r="A77" s="41"/>
      <c r="B77" s="42"/>
      <c r="C77" s="43" t="s">
        <v>2</v>
      </c>
      <c r="D77" s="43" t="s">
        <v>18</v>
      </c>
      <c r="E77" s="44">
        <v>24</v>
      </c>
      <c r="F77" s="53"/>
      <c r="G77" s="53"/>
      <c r="H77" s="53"/>
      <c r="I77" s="53"/>
      <c r="J77" s="40">
        <f>(E77*F77)+(E77*G77/2)+((E77+E77*25/100)*H77)+(E77*I77*0.8)</f>
        <v>0</v>
      </c>
      <c r="K77" s="40">
        <v>0</v>
      </c>
      <c r="L77" s="40">
        <f>SUM(J68:J77)</f>
        <v>0</v>
      </c>
    </row>
    <row r="78" spans="1:15" x14ac:dyDescent="0.2">
      <c r="A78" s="18" t="s">
        <v>32</v>
      </c>
      <c r="B78" s="18" t="s">
        <v>45</v>
      </c>
      <c r="C78" s="17" t="s">
        <v>1</v>
      </c>
      <c r="D78" s="17" t="s">
        <v>15</v>
      </c>
      <c r="E78" s="19">
        <v>30</v>
      </c>
      <c r="F78" s="20"/>
      <c r="G78" s="20"/>
      <c r="H78" s="20"/>
      <c r="I78" s="20"/>
      <c r="J78" s="38">
        <f>(E78*F78)+(E78*G78/2)+((E78+E78*25/100)*H78)+(E87*I78*0.8)</f>
        <v>0</v>
      </c>
      <c r="K78" s="19"/>
      <c r="L78" s="22"/>
      <c r="M78" s="4">
        <f>SUM(F78:H78)</f>
        <v>0</v>
      </c>
      <c r="N78" s="4" t="e">
        <f>SUM(F79:H83)+#REF!</f>
        <v>#REF!</v>
      </c>
      <c r="O78" s="4">
        <f>SUM(F84:H87)</f>
        <v>0</v>
      </c>
    </row>
    <row r="79" spans="1:15" x14ac:dyDescent="0.2">
      <c r="A79" s="18"/>
      <c r="B79" s="18"/>
      <c r="C79" s="17" t="s">
        <v>0</v>
      </c>
      <c r="D79" s="17" t="s">
        <v>15</v>
      </c>
      <c r="E79" s="19">
        <v>5</v>
      </c>
      <c r="F79" s="26"/>
      <c r="G79" s="26"/>
      <c r="H79" s="26"/>
      <c r="I79" s="26"/>
      <c r="J79" s="21">
        <f>(E79*F79)+(E79*G79/2)+((E79+E79*25/100)*H79)+(E79*I79*0.8)</f>
        <v>0</v>
      </c>
      <c r="K79" s="19"/>
      <c r="L79" s="22"/>
    </row>
    <row r="80" spans="1:15" x14ac:dyDescent="0.2">
      <c r="A80" s="18"/>
      <c r="B80" s="3"/>
      <c r="C80" s="17" t="s">
        <v>0</v>
      </c>
      <c r="D80" s="17" t="s">
        <v>16</v>
      </c>
      <c r="E80" s="19">
        <v>10</v>
      </c>
      <c r="F80" s="26"/>
      <c r="G80" s="26"/>
      <c r="H80" s="26"/>
      <c r="I80" s="26"/>
      <c r="J80" s="21">
        <f>(E80*F80)+(E80*G80/2)+((E80+E80*25/100)*H80)+(E80*I80*0.8)</f>
        <v>0</v>
      </c>
      <c r="K80" s="19"/>
      <c r="L80" s="22"/>
    </row>
    <row r="81" spans="1:12" x14ac:dyDescent="0.2">
      <c r="A81" s="18"/>
      <c r="B81" s="3"/>
      <c r="C81" s="17" t="s">
        <v>0</v>
      </c>
      <c r="D81" s="17" t="s">
        <v>17</v>
      </c>
      <c r="E81" s="19">
        <v>20</v>
      </c>
      <c r="F81" s="26"/>
      <c r="G81" s="26"/>
      <c r="H81" s="26"/>
      <c r="I81" s="26"/>
      <c r="J81" s="21">
        <f>(E81*F81)+(E81*G81/2)+((E81+E81*25/100)*H81)+(E81*I81*0.8)</f>
        <v>0</v>
      </c>
      <c r="K81" s="19"/>
      <c r="L81" s="22"/>
    </row>
    <row r="82" spans="1:12" x14ac:dyDescent="0.2">
      <c r="A82" s="18"/>
      <c r="B82" s="3"/>
      <c r="C82" s="17" t="s">
        <v>0</v>
      </c>
      <c r="D82" s="17" t="s">
        <v>18</v>
      </c>
      <c r="E82" s="19">
        <v>28</v>
      </c>
      <c r="F82" s="26"/>
      <c r="G82" s="26"/>
      <c r="H82" s="26"/>
      <c r="I82" s="26"/>
      <c r="J82" s="21">
        <f>(E82*F82)+(E82*G82/2)+((E82+E82*25/100)*H82)+(E82*I82*0.8)</f>
        <v>0</v>
      </c>
      <c r="K82" s="19"/>
      <c r="L82" s="22"/>
    </row>
    <row r="83" spans="1:12" x14ac:dyDescent="0.2">
      <c r="A83" s="18"/>
      <c r="B83" s="3"/>
      <c r="C83" s="17" t="s">
        <v>0</v>
      </c>
      <c r="D83" s="17" t="s">
        <v>19</v>
      </c>
      <c r="E83" s="19">
        <v>38</v>
      </c>
      <c r="F83" s="26"/>
      <c r="G83" s="26"/>
      <c r="H83" s="26"/>
      <c r="I83" s="26"/>
      <c r="J83" s="21">
        <f>(E83*F83)+(E83*G83/2)+((E83+E83*25/100)*H83)+(E83*I83*0.8)</f>
        <v>0</v>
      </c>
      <c r="K83" s="22"/>
      <c r="L83" s="22"/>
    </row>
    <row r="84" spans="1:12" x14ac:dyDescent="0.2">
      <c r="A84" s="18"/>
      <c r="B84" s="3"/>
      <c r="C84" s="17" t="s">
        <v>2</v>
      </c>
      <c r="D84" s="17" t="s">
        <v>15</v>
      </c>
      <c r="E84" s="19">
        <v>10</v>
      </c>
      <c r="F84" s="26"/>
      <c r="G84" s="26"/>
      <c r="H84" s="26"/>
      <c r="I84" s="26"/>
      <c r="J84" s="21">
        <f>(E84*F84)+(E84*G84/2)+((E84+E84*25/100)*H84)+(E87*I84*0.8)</f>
        <v>0</v>
      </c>
      <c r="K84" s="22"/>
      <c r="L84" s="22"/>
    </row>
    <row r="85" spans="1:12" x14ac:dyDescent="0.2">
      <c r="A85" s="18"/>
      <c r="B85" s="3"/>
      <c r="C85" s="17" t="s">
        <v>2</v>
      </c>
      <c r="D85" s="17" t="s">
        <v>16</v>
      </c>
      <c r="E85" s="19">
        <v>15</v>
      </c>
      <c r="F85" s="26"/>
      <c r="G85" s="26"/>
      <c r="H85" s="26"/>
      <c r="I85" s="26"/>
      <c r="J85" s="21">
        <f>(E85*F85)+(E85*G85/2)+((E85+E85*25/100)*H85)+(E87*I85*0.8)</f>
        <v>0</v>
      </c>
      <c r="K85" s="22"/>
      <c r="L85" s="22"/>
    </row>
    <row r="86" spans="1:12" x14ac:dyDescent="0.2">
      <c r="A86" s="18"/>
      <c r="B86" s="33"/>
      <c r="C86" s="17" t="s">
        <v>2</v>
      </c>
      <c r="D86" s="17" t="s">
        <v>17</v>
      </c>
      <c r="E86" s="19">
        <v>18</v>
      </c>
      <c r="F86" s="26"/>
      <c r="G86" s="26"/>
      <c r="H86" s="26"/>
      <c r="I86" s="26"/>
      <c r="J86" s="21">
        <f>(E86*F86)+(E86*G86/2)+((E86+E86*25/100)*H86)+(E87*I86*0.8)</f>
        <v>0</v>
      </c>
      <c r="K86" s="22"/>
      <c r="L86" s="22"/>
    </row>
    <row r="87" spans="1:12" ht="10.8" thickBot="1" x14ac:dyDescent="0.25">
      <c r="A87" s="41"/>
      <c r="B87" s="42"/>
      <c r="C87" s="43" t="s">
        <v>2</v>
      </c>
      <c r="D87" s="43" t="s">
        <v>18</v>
      </c>
      <c r="E87" s="44">
        <v>24</v>
      </c>
      <c r="F87" s="53"/>
      <c r="G87" s="53"/>
      <c r="H87" s="53"/>
      <c r="I87" s="53"/>
      <c r="J87" s="40">
        <f>(E87*F87)+(E87*G87/2)+((E87+E87*25/100)*H87)+(E87*I87*0.8)</f>
        <v>0</v>
      </c>
      <c r="K87" s="40">
        <v>0</v>
      </c>
      <c r="L87" s="40">
        <f>SUM(J78:J87)</f>
        <v>0</v>
      </c>
    </row>
    <row r="88" spans="1:12" x14ac:dyDescent="0.2">
      <c r="A88" s="18" t="s">
        <v>59</v>
      </c>
      <c r="B88" s="18" t="s">
        <v>22</v>
      </c>
      <c r="C88" s="17" t="s">
        <v>1</v>
      </c>
      <c r="D88" s="17" t="s">
        <v>15</v>
      </c>
      <c r="E88" s="19">
        <v>30</v>
      </c>
      <c r="F88" s="20"/>
      <c r="G88" s="20"/>
      <c r="H88" s="20"/>
      <c r="I88" s="20"/>
      <c r="J88" s="38">
        <f>(E88*F88)+(E88*G88/2)+((E88+E88*25/100)*H88)+(E97*I88*0.8)</f>
        <v>0</v>
      </c>
      <c r="K88" s="19"/>
      <c r="L88" s="22"/>
    </row>
    <row r="89" spans="1:12" x14ac:dyDescent="0.2">
      <c r="A89" s="18"/>
      <c r="B89" s="3"/>
      <c r="C89" s="17" t="s">
        <v>0</v>
      </c>
      <c r="D89" s="17" t="s">
        <v>15</v>
      </c>
      <c r="E89" s="19">
        <v>5</v>
      </c>
      <c r="F89" s="26"/>
      <c r="G89" s="26"/>
      <c r="H89" s="26"/>
      <c r="I89" s="26"/>
      <c r="J89" s="21">
        <f>(E89*F89)+(E89*G89/2)+((E89+E89*25/100)*H89)+(E89*I89*0.8)</f>
        <v>0</v>
      </c>
      <c r="K89" s="19"/>
      <c r="L89" s="22"/>
    </row>
    <row r="90" spans="1:12" x14ac:dyDescent="0.2">
      <c r="A90" s="34"/>
      <c r="C90" s="17" t="s">
        <v>0</v>
      </c>
      <c r="D90" s="17" t="s">
        <v>16</v>
      </c>
      <c r="E90" s="19">
        <v>10</v>
      </c>
      <c r="F90" s="26"/>
      <c r="G90" s="26"/>
      <c r="H90" s="26"/>
      <c r="I90" s="26"/>
      <c r="J90" s="21">
        <f>(E90*F90)+(E90*G90/2)+((E90+E90*25/100)*H90)+(E90*I90*0.8)</f>
        <v>0</v>
      </c>
      <c r="K90" s="19"/>
      <c r="L90" s="22"/>
    </row>
    <row r="91" spans="1:12" x14ac:dyDescent="0.2">
      <c r="A91" s="18"/>
      <c r="B91" s="3"/>
      <c r="C91" s="17" t="s">
        <v>0</v>
      </c>
      <c r="D91" s="17" t="s">
        <v>17</v>
      </c>
      <c r="E91" s="19">
        <v>20</v>
      </c>
      <c r="F91" s="26"/>
      <c r="G91" s="26"/>
      <c r="H91" s="26"/>
      <c r="I91" s="26"/>
      <c r="J91" s="21">
        <f>(E91*F91)+(E91*G91/2)+((E91+E91*25/100)*H91)+(E91*I91*0.8)</f>
        <v>0</v>
      </c>
      <c r="K91" s="19"/>
      <c r="L91" s="22"/>
    </row>
    <row r="92" spans="1:12" x14ac:dyDescent="0.2">
      <c r="A92" s="18"/>
      <c r="B92" s="3"/>
      <c r="C92" s="17" t="s">
        <v>0</v>
      </c>
      <c r="D92" s="17" t="s">
        <v>18</v>
      </c>
      <c r="E92" s="19">
        <v>28</v>
      </c>
      <c r="F92" s="26"/>
      <c r="G92" s="26"/>
      <c r="H92" s="26"/>
      <c r="I92" s="26"/>
      <c r="J92" s="21">
        <f>(E92*F92)+(E92*G92/2)+((E92+E92*25/100)*H92)+(E92*I92*0.8)</f>
        <v>0</v>
      </c>
      <c r="K92" s="19"/>
      <c r="L92" s="22"/>
    </row>
    <row r="93" spans="1:12" x14ac:dyDescent="0.2">
      <c r="A93" s="18"/>
      <c r="B93" s="3"/>
      <c r="C93" s="17" t="s">
        <v>0</v>
      </c>
      <c r="D93" s="17" t="s">
        <v>19</v>
      </c>
      <c r="E93" s="19">
        <v>38</v>
      </c>
      <c r="F93" s="26"/>
      <c r="G93" s="26"/>
      <c r="H93" s="26"/>
      <c r="I93" s="26"/>
      <c r="J93" s="21">
        <f>(E93*F93)+(E93*G93/2)+((E93+E93*25/100)*H93)+(E93*I93*0.8)</f>
        <v>0</v>
      </c>
      <c r="K93" s="22"/>
      <c r="L93" s="22"/>
    </row>
    <row r="94" spans="1:12" x14ac:dyDescent="0.2">
      <c r="A94" s="18"/>
      <c r="B94" s="3"/>
      <c r="C94" s="17" t="s">
        <v>2</v>
      </c>
      <c r="D94" s="17" t="s">
        <v>15</v>
      </c>
      <c r="E94" s="19">
        <v>10</v>
      </c>
      <c r="F94" s="26"/>
      <c r="G94" s="26"/>
      <c r="H94" s="26"/>
      <c r="I94" s="26"/>
      <c r="J94" s="21">
        <f>(E94*F94)+(E94*G94/2)+((E94+E94*25/100)*H94)+(E97*I94*0.8)</f>
        <v>0</v>
      </c>
      <c r="K94" s="22"/>
      <c r="L94" s="22"/>
    </row>
    <row r="95" spans="1:12" x14ac:dyDescent="0.2">
      <c r="A95" s="18"/>
      <c r="B95" s="3"/>
      <c r="C95" s="17" t="s">
        <v>2</v>
      </c>
      <c r="D95" s="17" t="s">
        <v>16</v>
      </c>
      <c r="E95" s="19">
        <v>15</v>
      </c>
      <c r="F95" s="26"/>
      <c r="G95" s="26"/>
      <c r="H95" s="26"/>
      <c r="I95" s="26"/>
      <c r="J95" s="21">
        <f>(E95*F95)+(E95*G95/2)+((E95+E95*25/100)*H95)+(E97*I95*0.8)</f>
        <v>0</v>
      </c>
      <c r="K95" s="22"/>
      <c r="L95" s="22"/>
    </row>
    <row r="96" spans="1:12" x14ac:dyDescent="0.2">
      <c r="A96" s="18"/>
      <c r="B96" s="3"/>
      <c r="C96" s="17" t="s">
        <v>2</v>
      </c>
      <c r="D96" s="17" t="s">
        <v>17</v>
      </c>
      <c r="E96" s="19">
        <v>18</v>
      </c>
      <c r="F96" s="26"/>
      <c r="G96" s="26"/>
      <c r="H96" s="26"/>
      <c r="I96" s="26"/>
      <c r="J96" s="21">
        <f>(E96*F96)+(E96*G96/2)+((E96+E96*25/100)*H96)+(E97*I96*0.8)</f>
        <v>0</v>
      </c>
      <c r="K96" s="22"/>
      <c r="L96" s="22"/>
    </row>
    <row r="97" spans="1:15" ht="10.8" thickBot="1" x14ac:dyDescent="0.25">
      <c r="A97" s="41"/>
      <c r="B97" s="42"/>
      <c r="C97" s="43" t="s">
        <v>2</v>
      </c>
      <c r="D97" s="43" t="s">
        <v>18</v>
      </c>
      <c r="E97" s="44">
        <v>24</v>
      </c>
      <c r="F97" s="53"/>
      <c r="G97" s="53"/>
      <c r="H97" s="53"/>
      <c r="I97" s="53"/>
      <c r="J97" s="40">
        <f>(E97*F97)+(E97*G97/2)+((E97+E97*25/100)*H97)+(E97*I97*0.8)</f>
        <v>0</v>
      </c>
      <c r="K97" s="40">
        <v>0</v>
      </c>
      <c r="L97" s="40">
        <f>SUM(J88:J97)</f>
        <v>0</v>
      </c>
    </row>
    <row r="98" spans="1:15" ht="11.4" hidden="1" thickTop="1" thickBot="1" x14ac:dyDescent="0.25">
      <c r="A98" s="27"/>
      <c r="B98" s="32"/>
      <c r="C98" s="17" t="s">
        <v>1</v>
      </c>
      <c r="D98" s="17" t="s">
        <v>15</v>
      </c>
      <c r="E98" s="19">
        <v>2.48</v>
      </c>
      <c r="F98" s="20"/>
      <c r="G98" s="20"/>
      <c r="H98" s="20"/>
      <c r="I98" s="20"/>
      <c r="J98" s="38">
        <f>(E98*F98)+(E98*G98/2)+((E98+E98*25/100)*H98)+(E108*I98*0.8)</f>
        <v>0</v>
      </c>
      <c r="K98" s="19"/>
      <c r="L98" s="22"/>
    </row>
    <row r="99" spans="1:15" x14ac:dyDescent="0.2">
      <c r="A99" s="18" t="s">
        <v>34</v>
      </c>
      <c r="B99" s="3" t="s">
        <v>53</v>
      </c>
      <c r="C99" s="17" t="s">
        <v>1</v>
      </c>
      <c r="D99" s="17" t="s">
        <v>15</v>
      </c>
      <c r="E99" s="19">
        <v>30</v>
      </c>
      <c r="F99" s="26"/>
      <c r="G99" s="26"/>
      <c r="H99" s="26"/>
      <c r="I99" s="26"/>
      <c r="J99" s="21">
        <f>(E99*F99)+(E99*G99/2)+((E99+E99*25/100)*H99)+(E108*I99*0.8)</f>
        <v>0</v>
      </c>
      <c r="K99" s="19"/>
      <c r="L99" s="22"/>
    </row>
    <row r="100" spans="1:15" x14ac:dyDescent="0.2">
      <c r="A100" s="34"/>
      <c r="B100" s="17"/>
      <c r="C100" s="17" t="s">
        <v>0</v>
      </c>
      <c r="D100" s="17" t="s">
        <v>15</v>
      </c>
      <c r="E100" s="19">
        <v>5</v>
      </c>
      <c r="F100" s="26"/>
      <c r="G100" s="26"/>
      <c r="H100" s="26"/>
      <c r="I100" s="26"/>
      <c r="J100" s="21">
        <f>(E100*F100)+(E100*G100/2)+((E100+E100*25/100)*H100)+(E100*I100*0.8)</f>
        <v>0</v>
      </c>
      <c r="K100" s="19"/>
      <c r="L100" s="22"/>
      <c r="M100" s="4" t="e">
        <f>SUM(#REF!)</f>
        <v>#REF!</v>
      </c>
      <c r="N100" s="4" t="e">
        <f>SUM(#REF!)+#REF!</f>
        <v>#REF!</v>
      </c>
      <c r="O100" s="4" t="e">
        <f>SUM(#REF!)</f>
        <v>#REF!</v>
      </c>
    </row>
    <row r="101" spans="1:15" x14ac:dyDescent="0.2">
      <c r="A101" s="34"/>
      <c r="B101" s="17"/>
      <c r="C101" s="17" t="s">
        <v>0</v>
      </c>
      <c r="D101" s="17" t="s">
        <v>16</v>
      </c>
      <c r="E101" s="19">
        <v>10</v>
      </c>
      <c r="F101" s="26"/>
      <c r="G101" s="26"/>
      <c r="H101" s="26"/>
      <c r="I101" s="26"/>
      <c r="J101" s="21">
        <f>(E101*F101)+(E101*G101/2)+((E101+E101*25/100)*H101)+(E101*I101*0.8)</f>
        <v>0</v>
      </c>
      <c r="K101" s="19"/>
      <c r="L101" s="22"/>
    </row>
    <row r="102" spans="1:15" x14ac:dyDescent="0.2">
      <c r="A102" s="34"/>
      <c r="B102" s="17"/>
      <c r="C102" s="17" t="s">
        <v>0</v>
      </c>
      <c r="D102" s="17" t="s">
        <v>17</v>
      </c>
      <c r="E102" s="19">
        <v>20</v>
      </c>
      <c r="F102" s="26"/>
      <c r="G102" s="26"/>
      <c r="H102" s="26"/>
      <c r="I102" s="26"/>
      <c r="J102" s="21">
        <f>(E102*F102)+(E102*G102/2)+((E102+E102*25/100)*H102)+(E102*I102*0.8)</f>
        <v>0</v>
      </c>
      <c r="K102" s="19"/>
      <c r="L102" s="22"/>
    </row>
    <row r="103" spans="1:15" x14ac:dyDescent="0.2">
      <c r="A103" s="34"/>
      <c r="B103" s="17"/>
      <c r="C103" s="17" t="s">
        <v>0</v>
      </c>
      <c r="D103" s="17" t="s">
        <v>18</v>
      </c>
      <c r="E103" s="19">
        <v>28</v>
      </c>
      <c r="F103" s="26"/>
      <c r="G103" s="26"/>
      <c r="H103" s="26"/>
      <c r="I103" s="26"/>
      <c r="J103" s="21">
        <f>(E103*F103)+(E103*G103/2)+((E103+E103*25/100)*H103)+(E103*I103*0.8)</f>
        <v>0</v>
      </c>
      <c r="K103" s="19"/>
      <c r="L103" s="22"/>
    </row>
    <row r="104" spans="1:15" x14ac:dyDescent="0.2">
      <c r="A104" s="34"/>
      <c r="B104" s="17"/>
      <c r="C104" s="17" t="s">
        <v>0</v>
      </c>
      <c r="D104" s="17" t="s">
        <v>19</v>
      </c>
      <c r="E104" s="19">
        <v>38</v>
      </c>
      <c r="F104" s="26"/>
      <c r="G104" s="26"/>
      <c r="H104" s="26"/>
      <c r="I104" s="26"/>
      <c r="J104" s="21">
        <f>(E104*F104)+(E104*G104/2)+((E104+E104*25/100)*H104)+(E104*I104*0.8)</f>
        <v>0</v>
      </c>
      <c r="K104" s="22"/>
      <c r="L104" s="22"/>
    </row>
    <row r="105" spans="1:15" x14ac:dyDescent="0.2">
      <c r="A105" s="34"/>
      <c r="B105" s="17"/>
      <c r="C105" s="17" t="s">
        <v>2</v>
      </c>
      <c r="D105" s="17" t="s">
        <v>15</v>
      </c>
      <c r="E105" s="19">
        <v>10</v>
      </c>
      <c r="F105" s="26"/>
      <c r="G105" s="26"/>
      <c r="H105" s="26"/>
      <c r="I105" s="26"/>
      <c r="J105" s="21">
        <f>(E105*F105)+(E105*G105/2)+((E105+E105*25/100)*H105)+(E108*I105*0.8)</f>
        <v>0</v>
      </c>
      <c r="K105" s="22"/>
      <c r="L105" s="22"/>
    </row>
    <row r="106" spans="1:15" x14ac:dyDescent="0.2">
      <c r="A106" s="34"/>
      <c r="B106" s="17"/>
      <c r="C106" s="17" t="s">
        <v>2</v>
      </c>
      <c r="D106" s="17" t="s">
        <v>16</v>
      </c>
      <c r="E106" s="19">
        <v>15</v>
      </c>
      <c r="F106" s="26"/>
      <c r="G106" s="26"/>
      <c r="H106" s="26"/>
      <c r="I106" s="26"/>
      <c r="J106" s="21">
        <f>(E106*F106)+(E106*G106/2)+((E106+E106*25/100)*H106)+(E108*I106*0.8)</f>
        <v>0</v>
      </c>
      <c r="K106" s="22"/>
      <c r="L106" s="22"/>
    </row>
    <row r="107" spans="1:15" x14ac:dyDescent="0.2">
      <c r="A107" s="34"/>
      <c r="B107" s="17"/>
      <c r="C107" s="17" t="s">
        <v>2</v>
      </c>
      <c r="D107" s="17" t="s">
        <v>17</v>
      </c>
      <c r="E107" s="19">
        <v>18</v>
      </c>
      <c r="F107" s="26"/>
      <c r="G107" s="26"/>
      <c r="H107" s="26"/>
      <c r="I107" s="26"/>
      <c r="J107" s="21">
        <f>(E107*F107)+(E107*G107/2)+((E107+E107*25/100)*H107)+(E108*I107*0.8)</f>
        <v>0</v>
      </c>
      <c r="K107" s="22"/>
      <c r="L107" s="22"/>
    </row>
    <row r="108" spans="1:15" ht="10.8" thickBot="1" x14ac:dyDescent="0.25">
      <c r="A108" s="45"/>
      <c r="B108" s="41"/>
      <c r="C108" s="43" t="s">
        <v>2</v>
      </c>
      <c r="D108" s="43" t="s">
        <v>18</v>
      </c>
      <c r="E108" s="44">
        <v>24</v>
      </c>
      <c r="F108" s="53"/>
      <c r="G108" s="53"/>
      <c r="H108" s="53"/>
      <c r="I108" s="53"/>
      <c r="J108" s="40">
        <f>(E108*F108)+(E108*G108/2)+((E108+E108*25/100)*H108)+(E108*I108*0.8)</f>
        <v>0</v>
      </c>
      <c r="K108" s="40">
        <v>0</v>
      </c>
      <c r="L108" s="40">
        <f>SUM(J98:J108)</f>
        <v>0</v>
      </c>
    </row>
    <row r="109" spans="1:15" x14ac:dyDescent="0.2">
      <c r="A109" s="18" t="s">
        <v>61</v>
      </c>
      <c r="B109" s="4" t="s">
        <v>35</v>
      </c>
      <c r="C109" s="17" t="s">
        <v>1</v>
      </c>
      <c r="D109" s="17" t="s">
        <v>15</v>
      </c>
      <c r="E109" s="19">
        <v>30</v>
      </c>
      <c r="F109" s="20"/>
      <c r="G109" s="20"/>
      <c r="H109" s="20"/>
      <c r="I109" s="20"/>
      <c r="J109" s="38">
        <f>(E109*F109)+(E109*G109/2)+((E109+E109*25/100)*H109)+(E118*I109*0.8)</f>
        <v>0</v>
      </c>
      <c r="K109" s="19"/>
      <c r="L109" s="22"/>
    </row>
    <row r="110" spans="1:15" x14ac:dyDescent="0.2">
      <c r="A110" s="34"/>
      <c r="B110" s="3"/>
      <c r="C110" s="17" t="s">
        <v>0</v>
      </c>
      <c r="D110" s="17" t="s">
        <v>15</v>
      </c>
      <c r="E110" s="19">
        <v>5</v>
      </c>
      <c r="F110" s="26"/>
      <c r="G110" s="26"/>
      <c r="H110" s="26"/>
      <c r="I110" s="26"/>
      <c r="J110" s="21">
        <f>(E110*F110)+(E110*G110/2)+((E110+E110*25/100)*H110)+(E110*I110*0.8)</f>
        <v>0</v>
      </c>
      <c r="K110" s="19"/>
      <c r="L110" s="22"/>
      <c r="M110" s="4" t="e">
        <f>SUM(#REF!)</f>
        <v>#REF!</v>
      </c>
      <c r="N110" s="4" t="e">
        <f>SUM(#REF!)+#REF!</f>
        <v>#REF!</v>
      </c>
      <c r="O110" s="4" t="e">
        <f>SUM(#REF!)</f>
        <v>#REF!</v>
      </c>
    </row>
    <row r="111" spans="1:15" x14ac:dyDescent="0.2">
      <c r="A111" s="34"/>
      <c r="B111" s="3"/>
      <c r="C111" s="17" t="s">
        <v>0</v>
      </c>
      <c r="D111" s="17" t="s">
        <v>16</v>
      </c>
      <c r="E111" s="19">
        <v>10</v>
      </c>
      <c r="F111" s="26"/>
      <c r="G111" s="26"/>
      <c r="H111" s="26"/>
      <c r="I111" s="26"/>
      <c r="J111" s="21">
        <f>(E111*F111)+(E111*G111/2)+((E111+E111*25/100)*H111)+(E111*I111*0.8)</f>
        <v>0</v>
      </c>
      <c r="K111" s="19"/>
      <c r="L111" s="22"/>
    </row>
    <row r="112" spans="1:15" x14ac:dyDescent="0.2">
      <c r="A112" s="34"/>
      <c r="B112" s="3"/>
      <c r="C112" s="17" t="s">
        <v>0</v>
      </c>
      <c r="D112" s="17" t="s">
        <v>17</v>
      </c>
      <c r="E112" s="19">
        <v>20</v>
      </c>
      <c r="F112" s="26"/>
      <c r="G112" s="26"/>
      <c r="H112" s="26"/>
      <c r="I112" s="26"/>
      <c r="J112" s="21">
        <f>(E112*F112)+(E112*G112/2)+((E112+E112*25/100)*H112)+(E112*I112*0.8)</f>
        <v>0</v>
      </c>
      <c r="K112" s="19"/>
      <c r="L112" s="22"/>
    </row>
    <row r="113" spans="1:12" x14ac:dyDescent="0.2">
      <c r="A113" s="34"/>
      <c r="B113" s="3"/>
      <c r="C113" s="17" t="s">
        <v>0</v>
      </c>
      <c r="D113" s="17" t="s">
        <v>18</v>
      </c>
      <c r="E113" s="19">
        <v>28</v>
      </c>
      <c r="F113" s="26"/>
      <c r="G113" s="26"/>
      <c r="H113" s="26"/>
      <c r="I113" s="26"/>
      <c r="J113" s="21">
        <f>(E113*F113)+(E113*G113/2)+((E113+E113*25/100)*H113)+(E113*I113*0.8)</f>
        <v>0</v>
      </c>
      <c r="K113" s="19"/>
      <c r="L113" s="22"/>
    </row>
    <row r="114" spans="1:12" x14ac:dyDescent="0.2">
      <c r="A114" s="34"/>
      <c r="B114" s="3"/>
      <c r="C114" s="17" t="s">
        <v>0</v>
      </c>
      <c r="D114" s="17" t="s">
        <v>19</v>
      </c>
      <c r="E114" s="19">
        <v>38</v>
      </c>
      <c r="F114" s="26"/>
      <c r="G114" s="26"/>
      <c r="H114" s="26"/>
      <c r="I114" s="26"/>
      <c r="J114" s="21">
        <f>(E114*F114)+(E114*G114/2)+((E114+E114*25/100)*H114)+(E114*I114*0.8)</f>
        <v>0</v>
      </c>
      <c r="K114" s="22"/>
      <c r="L114" s="22"/>
    </row>
    <row r="115" spans="1:12" x14ac:dyDescent="0.2">
      <c r="A115" s="34"/>
      <c r="B115" s="3"/>
      <c r="C115" s="17" t="s">
        <v>2</v>
      </c>
      <c r="D115" s="17" t="s">
        <v>15</v>
      </c>
      <c r="E115" s="19">
        <v>10</v>
      </c>
      <c r="F115" s="26"/>
      <c r="G115" s="26"/>
      <c r="H115" s="26"/>
      <c r="I115" s="26"/>
      <c r="J115" s="21">
        <f>(E115*F115)+(E115*G115/2)+((E115+E115*25/100)*H115)+(E118*I115*0.8)</f>
        <v>0</v>
      </c>
      <c r="K115" s="22"/>
      <c r="L115" s="22"/>
    </row>
    <row r="116" spans="1:12" x14ac:dyDescent="0.2">
      <c r="A116" s="34"/>
      <c r="B116" s="3"/>
      <c r="C116" s="17" t="s">
        <v>2</v>
      </c>
      <c r="D116" s="17" t="s">
        <v>16</v>
      </c>
      <c r="E116" s="19">
        <v>15</v>
      </c>
      <c r="F116" s="26"/>
      <c r="G116" s="26"/>
      <c r="H116" s="26"/>
      <c r="I116" s="26"/>
      <c r="J116" s="21">
        <f>(E116*F116)+(E116*G116/2)+((E116+E116*25/100)*H116)+(E118*I116*0.8)</f>
        <v>0</v>
      </c>
      <c r="K116" s="22"/>
      <c r="L116" s="22"/>
    </row>
    <row r="117" spans="1:12" x14ac:dyDescent="0.2">
      <c r="A117" s="34"/>
      <c r="B117" s="3"/>
      <c r="C117" s="17" t="s">
        <v>2</v>
      </c>
      <c r="D117" s="17" t="s">
        <v>17</v>
      </c>
      <c r="E117" s="19">
        <v>18</v>
      </c>
      <c r="F117" s="26"/>
      <c r="G117" s="26"/>
      <c r="H117" s="26"/>
      <c r="I117" s="26"/>
      <c r="J117" s="21">
        <f>(E117*F117)+(E117*G117/2)+((E117+E117*25/100)*H117)+(E118*I117*0.8)</f>
        <v>0</v>
      </c>
      <c r="K117" s="22"/>
      <c r="L117" s="22"/>
    </row>
    <row r="118" spans="1:12" ht="10.8" thickBot="1" x14ac:dyDescent="0.25">
      <c r="A118" s="45"/>
      <c r="B118" s="42"/>
      <c r="C118" s="43" t="s">
        <v>2</v>
      </c>
      <c r="D118" s="43" t="s">
        <v>18</v>
      </c>
      <c r="E118" s="44">
        <v>24</v>
      </c>
      <c r="F118" s="53"/>
      <c r="G118" s="53"/>
      <c r="H118" s="53"/>
      <c r="I118" s="53"/>
      <c r="J118" s="40">
        <f>(E118*F118)+(E118*G118/2)+((E118+E118*25/100)*H118)+(E118*I118*0.8)</f>
        <v>0</v>
      </c>
      <c r="K118" s="40">
        <v>0</v>
      </c>
      <c r="L118" s="40">
        <f>SUM(J109:J118)</f>
        <v>0</v>
      </c>
    </row>
    <row r="119" spans="1:12" x14ac:dyDescent="0.2">
      <c r="A119" s="18" t="s">
        <v>61</v>
      </c>
      <c r="B119" s="3" t="s">
        <v>24</v>
      </c>
      <c r="C119" s="17" t="s">
        <v>1</v>
      </c>
      <c r="D119" s="17" t="s">
        <v>15</v>
      </c>
      <c r="E119" s="19">
        <v>30</v>
      </c>
      <c r="F119" s="20"/>
      <c r="G119" s="20"/>
      <c r="H119" s="20"/>
      <c r="I119" s="20"/>
      <c r="J119" s="38">
        <f>(E119*F119)+(E119*G119/2)+((E119+E119*25/100)*H119)+(E128*I119*0.8)</f>
        <v>0</v>
      </c>
      <c r="K119" s="19"/>
      <c r="L119" s="22"/>
    </row>
    <row r="120" spans="1:12" x14ac:dyDescent="0.2">
      <c r="A120" s="34"/>
      <c r="B120" s="17"/>
      <c r="C120" s="17" t="s">
        <v>0</v>
      </c>
      <c r="D120" s="17" t="s">
        <v>15</v>
      </c>
      <c r="E120" s="19">
        <v>5</v>
      </c>
      <c r="F120" s="26"/>
      <c r="G120" s="26"/>
      <c r="H120" s="26"/>
      <c r="I120" s="26"/>
      <c r="J120" s="21">
        <f>(E120*F120)+(E120*G120/2)+((E120+E120*25/100)*H120)+(E120*I120*0.8)</f>
        <v>0</v>
      </c>
      <c r="K120" s="19"/>
      <c r="L120" s="22"/>
    </row>
    <row r="121" spans="1:12" x14ac:dyDescent="0.2">
      <c r="A121" s="34"/>
      <c r="B121" s="17"/>
      <c r="C121" s="17" t="s">
        <v>0</v>
      </c>
      <c r="D121" s="17" t="s">
        <v>16</v>
      </c>
      <c r="E121" s="19">
        <v>10</v>
      </c>
      <c r="F121" s="26"/>
      <c r="G121" s="26"/>
      <c r="H121" s="26"/>
      <c r="I121" s="26"/>
      <c r="J121" s="21">
        <f>(E121*F121)+(E121*G121/2)+((E121+E121*25/100)*H121)+(E121*I121*0.8)</f>
        <v>0</v>
      </c>
      <c r="K121" s="19"/>
      <c r="L121" s="22"/>
    </row>
    <row r="122" spans="1:12" x14ac:dyDescent="0.2">
      <c r="A122" s="34"/>
      <c r="B122" s="17"/>
      <c r="C122" s="17" t="s">
        <v>0</v>
      </c>
      <c r="D122" s="17" t="s">
        <v>17</v>
      </c>
      <c r="E122" s="19">
        <v>20</v>
      </c>
      <c r="F122" s="26"/>
      <c r="G122" s="26"/>
      <c r="H122" s="26"/>
      <c r="I122" s="26"/>
      <c r="J122" s="21">
        <f>(E122*F122)+(E122*G122/2)+((E122+E122*25/100)*H122)+(E122*I122*0.8)</f>
        <v>0</v>
      </c>
      <c r="K122" s="19"/>
      <c r="L122" s="22"/>
    </row>
    <row r="123" spans="1:12" x14ac:dyDescent="0.2">
      <c r="A123" s="34"/>
      <c r="B123" s="17"/>
      <c r="C123" s="17" t="s">
        <v>0</v>
      </c>
      <c r="D123" s="17" t="s">
        <v>18</v>
      </c>
      <c r="E123" s="19">
        <v>28</v>
      </c>
      <c r="F123" s="26"/>
      <c r="G123" s="26"/>
      <c r="H123" s="26"/>
      <c r="I123" s="26"/>
      <c r="J123" s="21">
        <f>(E123*F123)+(E123*G123/2)+((E123+E123*25/100)*H123)+(E123*I123*0.8)</f>
        <v>0</v>
      </c>
      <c r="K123" s="19"/>
      <c r="L123" s="22"/>
    </row>
    <row r="124" spans="1:12" x14ac:dyDescent="0.2">
      <c r="A124" s="34"/>
      <c r="B124" s="17"/>
      <c r="C124" s="17" t="s">
        <v>0</v>
      </c>
      <c r="D124" s="17" t="s">
        <v>19</v>
      </c>
      <c r="E124" s="19">
        <v>38</v>
      </c>
      <c r="F124" s="26"/>
      <c r="G124" s="26"/>
      <c r="H124" s="26"/>
      <c r="I124" s="26"/>
      <c r="J124" s="21">
        <f>(E124*F124)+(E124*G124/2)+((E124+E124*25/100)*H124)+(E124*I124*0.8)</f>
        <v>0</v>
      </c>
      <c r="K124" s="22"/>
      <c r="L124" s="22"/>
    </row>
    <row r="125" spans="1:12" x14ac:dyDescent="0.2">
      <c r="A125" s="34"/>
      <c r="B125" s="17"/>
      <c r="C125" s="17" t="s">
        <v>2</v>
      </c>
      <c r="D125" s="17" t="s">
        <v>15</v>
      </c>
      <c r="E125" s="19">
        <v>10</v>
      </c>
      <c r="F125" s="26"/>
      <c r="G125" s="26"/>
      <c r="H125" s="26"/>
      <c r="I125" s="26"/>
      <c r="J125" s="21">
        <f>(E125*F125)+(E125*G125/2)+((E125+E125*25/100)*H125)+(E128*I125*0.8)</f>
        <v>0</v>
      </c>
      <c r="K125" s="22"/>
      <c r="L125" s="22"/>
    </row>
    <row r="126" spans="1:12" x14ac:dyDescent="0.2">
      <c r="A126" s="34"/>
      <c r="B126" s="17"/>
      <c r="C126" s="17" t="s">
        <v>2</v>
      </c>
      <c r="D126" s="17" t="s">
        <v>16</v>
      </c>
      <c r="E126" s="19">
        <v>15</v>
      </c>
      <c r="F126" s="26"/>
      <c r="G126" s="26"/>
      <c r="H126" s="26"/>
      <c r="I126" s="26"/>
      <c r="J126" s="21">
        <f>(E126*F126)+(E126*G126/2)+((E126+E126*25/100)*H126)+(E128*I126*0.8)</f>
        <v>0</v>
      </c>
      <c r="K126" s="22"/>
      <c r="L126" s="22"/>
    </row>
    <row r="127" spans="1:12" x14ac:dyDescent="0.2">
      <c r="A127" s="34"/>
      <c r="B127" s="17"/>
      <c r="C127" s="17" t="s">
        <v>2</v>
      </c>
      <c r="D127" s="17" t="s">
        <v>17</v>
      </c>
      <c r="E127" s="19">
        <v>18</v>
      </c>
      <c r="F127" s="47"/>
      <c r="G127" s="47"/>
      <c r="H127" s="47"/>
      <c r="I127" s="47"/>
      <c r="J127" s="48">
        <f>(E127*F127)+(E127*G127/2)+((E127+E127*25/100)*H127)+(E128*I127*0.8)</f>
        <v>0</v>
      </c>
      <c r="K127" s="22"/>
      <c r="L127" s="22"/>
    </row>
    <row r="128" spans="1:12" ht="10.8" thickBot="1" x14ac:dyDescent="0.25">
      <c r="A128" s="45"/>
      <c r="B128" s="43"/>
      <c r="C128" s="43" t="s">
        <v>2</v>
      </c>
      <c r="D128" s="43" t="s">
        <v>18</v>
      </c>
      <c r="E128" s="58">
        <v>24</v>
      </c>
      <c r="F128" s="53"/>
      <c r="G128" s="53"/>
      <c r="H128" s="53"/>
      <c r="I128" s="53"/>
      <c r="J128" s="40">
        <f>(E128*F128)+(E128*G128/2)+((E128+E128*25/100)*H128)+(E128*I128*0.8)</f>
        <v>0</v>
      </c>
      <c r="K128" s="40">
        <v>0</v>
      </c>
      <c r="L128" s="40">
        <f>SUM(J119:J128)</f>
        <v>0</v>
      </c>
    </row>
    <row r="129" spans="1:15" x14ac:dyDescent="0.2">
      <c r="B129" s="3"/>
      <c r="C129" s="3"/>
      <c r="D129" s="3"/>
      <c r="E129" s="36"/>
      <c r="F129" s="37"/>
      <c r="G129" s="37"/>
      <c r="H129" s="37"/>
      <c r="I129" s="37"/>
      <c r="J129" s="36"/>
      <c r="K129" s="36"/>
      <c r="L129" s="36"/>
    </row>
    <row r="130" spans="1:15" x14ac:dyDescent="0.2">
      <c r="B130" s="3"/>
      <c r="C130" s="3"/>
      <c r="D130" s="3"/>
      <c r="E130" s="36"/>
      <c r="F130" s="37"/>
      <c r="G130" s="37"/>
      <c r="H130" s="37"/>
      <c r="I130" s="37"/>
      <c r="J130" s="36"/>
      <c r="K130" s="36"/>
      <c r="L130" s="36"/>
    </row>
    <row r="131" spans="1:15" x14ac:dyDescent="0.2">
      <c r="B131" s="3"/>
      <c r="C131" s="3"/>
      <c r="D131" s="3"/>
      <c r="E131" s="36"/>
      <c r="F131" s="37"/>
      <c r="G131" s="37"/>
      <c r="H131" s="37"/>
      <c r="I131" s="37"/>
      <c r="J131" s="36"/>
      <c r="K131" s="36"/>
      <c r="L131" s="36"/>
    </row>
    <row r="132" spans="1:15" x14ac:dyDescent="0.2">
      <c r="B132" s="3"/>
      <c r="C132" s="3"/>
      <c r="D132" s="3"/>
      <c r="E132" s="36"/>
      <c r="F132" s="37"/>
      <c r="G132" s="37"/>
      <c r="H132" s="37"/>
      <c r="I132" s="37"/>
      <c r="J132" s="36"/>
      <c r="K132" s="36"/>
      <c r="L132" s="36"/>
    </row>
    <row r="133" spans="1:15" ht="10.8" thickBot="1" x14ac:dyDescent="0.25">
      <c r="A133" s="49"/>
      <c r="B133" s="50"/>
      <c r="C133" s="50"/>
      <c r="D133" s="50"/>
      <c r="E133" s="51"/>
      <c r="F133" s="52"/>
      <c r="G133" s="52"/>
      <c r="H133" s="52"/>
      <c r="I133" s="52"/>
      <c r="J133" s="51"/>
      <c r="K133" s="51"/>
      <c r="L133" s="51"/>
    </row>
    <row r="134" spans="1:15" ht="21" thickBot="1" x14ac:dyDescent="0.25">
      <c r="A134" s="12" t="s">
        <v>6</v>
      </c>
      <c r="B134" s="39" t="s">
        <v>7</v>
      </c>
      <c r="C134" s="14" t="s">
        <v>8</v>
      </c>
      <c r="D134" s="14" t="s">
        <v>9</v>
      </c>
      <c r="E134" s="59" t="s">
        <v>10</v>
      </c>
      <c r="F134" s="56" t="s">
        <v>11</v>
      </c>
      <c r="G134" s="56" t="s">
        <v>12</v>
      </c>
      <c r="H134" s="56" t="s">
        <v>28</v>
      </c>
      <c r="I134" s="56" t="s">
        <v>30</v>
      </c>
      <c r="J134" s="57" t="s">
        <v>13</v>
      </c>
      <c r="K134" s="57" t="s">
        <v>31</v>
      </c>
      <c r="L134" s="46" t="s">
        <v>14</v>
      </c>
      <c r="M134" s="4" t="e">
        <f>SUM(#REF!)</f>
        <v>#REF!</v>
      </c>
      <c r="N134" s="4" t="e">
        <f>SUM(#REF!)+#REF!</f>
        <v>#REF!</v>
      </c>
      <c r="O134" s="4" t="e">
        <f>SUM(#REF!)</f>
        <v>#REF!</v>
      </c>
    </row>
    <row r="135" spans="1:15" x14ac:dyDescent="0.2">
      <c r="A135" s="60" t="s">
        <v>61</v>
      </c>
      <c r="B135" s="61" t="s">
        <v>23</v>
      </c>
      <c r="C135" s="17" t="s">
        <v>1</v>
      </c>
      <c r="D135" s="17" t="s">
        <v>15</v>
      </c>
      <c r="E135" s="19">
        <v>30</v>
      </c>
      <c r="F135" s="62"/>
      <c r="G135" s="20"/>
      <c r="H135" s="20"/>
      <c r="I135" s="20"/>
      <c r="J135" s="38">
        <f>(E135*F135)+(E135*G135/2)+((E135+E135*25/100)*H135)+(E144*I135*0.8)</f>
        <v>0</v>
      </c>
      <c r="K135" s="19"/>
      <c r="L135" s="22"/>
    </row>
    <row r="136" spans="1:15" x14ac:dyDescent="0.2">
      <c r="A136" s="18"/>
      <c r="B136" s="3"/>
      <c r="C136" s="17" t="s">
        <v>0</v>
      </c>
      <c r="D136" s="17" t="s">
        <v>15</v>
      </c>
      <c r="E136" s="19">
        <v>5</v>
      </c>
      <c r="F136" s="26"/>
      <c r="G136" s="26"/>
      <c r="H136" s="26"/>
      <c r="I136" s="26"/>
      <c r="J136" s="21">
        <f>(E136*F136)+(E136*G136/2)+((E136+E136*25/100)*H136)+(E136*I136*0.8)</f>
        <v>0</v>
      </c>
      <c r="K136" s="19"/>
      <c r="L136" s="22"/>
    </row>
    <row r="137" spans="1:15" x14ac:dyDescent="0.2">
      <c r="A137" s="18"/>
      <c r="B137" s="3"/>
      <c r="C137" s="17" t="s">
        <v>0</v>
      </c>
      <c r="D137" s="17" t="s">
        <v>16</v>
      </c>
      <c r="E137" s="19">
        <v>10</v>
      </c>
      <c r="F137" s="26"/>
      <c r="G137" s="26"/>
      <c r="H137" s="26"/>
      <c r="I137" s="26"/>
      <c r="J137" s="21">
        <f>(E137*F137)+(E137*G137/2)+((E137+E137*25/100)*H137)+(E137*I137*0.8)</f>
        <v>0</v>
      </c>
      <c r="K137" s="19"/>
      <c r="L137" s="22"/>
    </row>
    <row r="138" spans="1:15" x14ac:dyDescent="0.2">
      <c r="A138" s="18"/>
      <c r="B138" s="3"/>
      <c r="C138" s="17" t="s">
        <v>0</v>
      </c>
      <c r="D138" s="17" t="s">
        <v>17</v>
      </c>
      <c r="E138" s="19">
        <v>20</v>
      </c>
      <c r="F138" s="26"/>
      <c r="G138" s="26"/>
      <c r="H138" s="26"/>
      <c r="I138" s="26"/>
      <c r="J138" s="21">
        <f>(E138*F138)+(E138*G138/2)+((E138+E138*25/100)*H138)+(E138*I138*0.8)</f>
        <v>0</v>
      </c>
      <c r="K138" s="19"/>
      <c r="L138" s="22"/>
    </row>
    <row r="139" spans="1:15" x14ac:dyDescent="0.2">
      <c r="A139" s="18"/>
      <c r="B139" s="3"/>
      <c r="C139" s="17" t="s">
        <v>0</v>
      </c>
      <c r="D139" s="17" t="s">
        <v>18</v>
      </c>
      <c r="E139" s="19">
        <v>28</v>
      </c>
      <c r="F139" s="26"/>
      <c r="G139" s="26"/>
      <c r="H139" s="26"/>
      <c r="I139" s="26"/>
      <c r="J139" s="21">
        <f>(E139*F139)+(E139*G139/2)+((E139+E139*25/100)*H139)+(E139*I139*0.8)</f>
        <v>0</v>
      </c>
      <c r="K139" s="19"/>
      <c r="L139" s="22"/>
    </row>
    <row r="140" spans="1:15" x14ac:dyDescent="0.2">
      <c r="A140" s="18"/>
      <c r="B140" s="3"/>
      <c r="C140" s="17" t="s">
        <v>0</v>
      </c>
      <c r="D140" s="17" t="s">
        <v>19</v>
      </c>
      <c r="E140" s="19">
        <v>38</v>
      </c>
      <c r="F140" s="26"/>
      <c r="G140" s="26"/>
      <c r="H140" s="26"/>
      <c r="I140" s="26"/>
      <c r="J140" s="21">
        <f>(E140*F140)+(E140*G140/2)+((E140+E140*25/100)*H140)+(E140*I140*0.8)</f>
        <v>0</v>
      </c>
      <c r="K140" s="22"/>
      <c r="L140" s="22"/>
    </row>
    <row r="141" spans="1:15" x14ac:dyDescent="0.2">
      <c r="A141" s="18"/>
      <c r="B141" s="3"/>
      <c r="C141" s="17" t="s">
        <v>2</v>
      </c>
      <c r="D141" s="17" t="s">
        <v>15</v>
      </c>
      <c r="E141" s="19">
        <v>10</v>
      </c>
      <c r="F141" s="26"/>
      <c r="G141" s="26"/>
      <c r="H141" s="26"/>
      <c r="I141" s="26"/>
      <c r="J141" s="21">
        <f>(E141*F141)+(E141*G141/2)+((E141+E141*25/100)*H141)+(E144*I141*0.8)</f>
        <v>0</v>
      </c>
      <c r="K141" s="22"/>
      <c r="L141" s="22"/>
    </row>
    <row r="142" spans="1:15" x14ac:dyDescent="0.2">
      <c r="A142" s="18"/>
      <c r="B142" s="3"/>
      <c r="C142" s="17" t="s">
        <v>2</v>
      </c>
      <c r="D142" s="17" t="s">
        <v>16</v>
      </c>
      <c r="E142" s="19">
        <v>15</v>
      </c>
      <c r="F142" s="26"/>
      <c r="G142" s="26"/>
      <c r="H142" s="26"/>
      <c r="I142" s="26"/>
      <c r="J142" s="21">
        <f>(E142*F142)+(E142*G142/2)+((E142+E142*25/100)*H142)+(E144*I142*0.8)</f>
        <v>0</v>
      </c>
      <c r="K142" s="22"/>
      <c r="L142" s="22"/>
    </row>
    <row r="143" spans="1:15" x14ac:dyDescent="0.2">
      <c r="A143" s="18"/>
      <c r="B143" s="3"/>
      <c r="C143" s="17" t="s">
        <v>2</v>
      </c>
      <c r="D143" s="17" t="s">
        <v>17</v>
      </c>
      <c r="E143" s="19">
        <v>18</v>
      </c>
      <c r="F143" s="26"/>
      <c r="G143" s="26"/>
      <c r="H143" s="26"/>
      <c r="I143" s="26"/>
      <c r="J143" s="21">
        <f>(E143*F143)+(E143*G143/2)+((E143+E143*25/100)*H143)+(E144*I143*0.8)</f>
        <v>0</v>
      </c>
      <c r="K143" s="22"/>
      <c r="L143" s="22"/>
    </row>
    <row r="144" spans="1:15" ht="10.8" thickBot="1" x14ac:dyDescent="0.25">
      <c r="A144" s="41"/>
      <c r="B144" s="42"/>
      <c r="C144" s="43" t="s">
        <v>2</v>
      </c>
      <c r="D144" s="43" t="s">
        <v>18</v>
      </c>
      <c r="E144" s="44">
        <v>24</v>
      </c>
      <c r="F144" s="53"/>
      <c r="G144" s="53"/>
      <c r="H144" s="53"/>
      <c r="I144" s="53"/>
      <c r="J144" s="40">
        <f>(E144*F144)+(E144*G144/2)+((E144+E144*25/100)*H144)+(E144*I144*0.8)</f>
        <v>0</v>
      </c>
      <c r="K144" s="40">
        <v>0</v>
      </c>
      <c r="L144" s="40">
        <f>SUM(J135:J144)</f>
        <v>0</v>
      </c>
      <c r="M144" s="4">
        <f>SUM(F145:H145)</f>
        <v>0</v>
      </c>
      <c r="N144" s="4" t="e">
        <f>SUM(F146:H150)+#REF!</f>
        <v>#REF!</v>
      </c>
      <c r="O144" s="4">
        <f>SUM(F151:H154)</f>
        <v>0</v>
      </c>
    </row>
    <row r="145" spans="1:15" x14ac:dyDescent="0.2">
      <c r="A145" s="18" t="s">
        <v>33</v>
      </c>
      <c r="B145" s="18" t="s">
        <v>25</v>
      </c>
      <c r="C145" s="17" t="s">
        <v>1</v>
      </c>
      <c r="D145" s="17" t="s">
        <v>15</v>
      </c>
      <c r="E145" s="19">
        <v>30</v>
      </c>
      <c r="F145" s="20"/>
      <c r="G145" s="20"/>
      <c r="H145" s="20"/>
      <c r="I145" s="20"/>
      <c r="J145" s="38">
        <f>(E145*F145)+(E145*G145/2)+((E145+E145*25/100)*H145)+(E154*I145*0.8)</f>
        <v>0</v>
      </c>
      <c r="K145" s="19"/>
      <c r="L145" s="22"/>
    </row>
    <row r="146" spans="1:15" x14ac:dyDescent="0.2">
      <c r="A146" s="18"/>
      <c r="B146" s="3"/>
      <c r="C146" s="17" t="s">
        <v>0</v>
      </c>
      <c r="D146" s="17" t="s">
        <v>15</v>
      </c>
      <c r="E146" s="19">
        <v>5</v>
      </c>
      <c r="F146" s="26"/>
      <c r="G146" s="26"/>
      <c r="H146" s="26"/>
      <c r="I146" s="26"/>
      <c r="J146" s="21">
        <f>(E146*F146)+(E146*G146/2)+((E146+E146*25/100)*H146)+(E146*I146*0.8)</f>
        <v>0</v>
      </c>
      <c r="K146" s="19"/>
      <c r="L146" s="22"/>
    </row>
    <row r="147" spans="1:15" x14ac:dyDescent="0.2">
      <c r="A147" s="18"/>
      <c r="B147" s="3"/>
      <c r="C147" s="17" t="s">
        <v>0</v>
      </c>
      <c r="D147" s="17" t="s">
        <v>16</v>
      </c>
      <c r="E147" s="19">
        <v>10</v>
      </c>
      <c r="F147" s="26"/>
      <c r="G147" s="26"/>
      <c r="H147" s="26"/>
      <c r="I147" s="26"/>
      <c r="J147" s="21">
        <f>(E147*F147)+(E147*G147/2)+((E147+E147*25/100)*H147)+(E147*I147*0.8)</f>
        <v>0</v>
      </c>
      <c r="K147" s="19"/>
      <c r="L147" s="22"/>
    </row>
    <row r="148" spans="1:15" x14ac:dyDescent="0.2">
      <c r="A148" s="18"/>
      <c r="B148" s="3"/>
      <c r="C148" s="17" t="s">
        <v>0</v>
      </c>
      <c r="D148" s="17" t="s">
        <v>17</v>
      </c>
      <c r="E148" s="19">
        <v>20</v>
      </c>
      <c r="F148" s="26"/>
      <c r="G148" s="26"/>
      <c r="H148" s="26"/>
      <c r="I148" s="26"/>
      <c r="J148" s="21">
        <f>(E148*F148)+(E148*G148/2)+((E148+E148*25/100)*H148)+(E148*I148*0.8)</f>
        <v>0</v>
      </c>
      <c r="K148" s="19"/>
      <c r="L148" s="22"/>
    </row>
    <row r="149" spans="1:15" x14ac:dyDescent="0.2">
      <c r="A149" s="18"/>
      <c r="B149" s="3"/>
      <c r="C149" s="17" t="s">
        <v>0</v>
      </c>
      <c r="D149" s="17" t="s">
        <v>18</v>
      </c>
      <c r="E149" s="19">
        <v>28</v>
      </c>
      <c r="F149" s="26"/>
      <c r="G149" s="26"/>
      <c r="H149" s="26"/>
      <c r="I149" s="26"/>
      <c r="J149" s="21">
        <f>(E149*F149)+(E149*G149/2)+((E149+E149*25/100)*H149)+(E149*I149*0.8)</f>
        <v>0</v>
      </c>
      <c r="K149" s="19"/>
      <c r="L149" s="22"/>
    </row>
    <row r="150" spans="1:15" x14ac:dyDescent="0.2">
      <c r="A150" s="18"/>
      <c r="B150" s="3"/>
      <c r="C150" s="17" t="s">
        <v>0</v>
      </c>
      <c r="D150" s="17" t="s">
        <v>19</v>
      </c>
      <c r="E150" s="19">
        <v>38</v>
      </c>
      <c r="F150" s="26"/>
      <c r="G150" s="26"/>
      <c r="H150" s="26"/>
      <c r="I150" s="26"/>
      <c r="J150" s="21">
        <f>(E150*F150)+(E150*G150/2)+((E150+E150*25/100)*H150)+(E150*I150*0.8)</f>
        <v>0</v>
      </c>
      <c r="K150" s="22"/>
      <c r="L150" s="22"/>
    </row>
    <row r="151" spans="1:15" x14ac:dyDescent="0.2">
      <c r="A151" s="18"/>
      <c r="B151" s="3"/>
      <c r="C151" s="17" t="s">
        <v>2</v>
      </c>
      <c r="D151" s="17" t="s">
        <v>15</v>
      </c>
      <c r="E151" s="19">
        <v>10</v>
      </c>
      <c r="F151" s="26"/>
      <c r="G151" s="26"/>
      <c r="H151" s="26"/>
      <c r="I151" s="26"/>
      <c r="J151" s="21">
        <f>(E151*F151)+(E151*G151/2)+((E151+E151*25/100)*H151)+(E154*I151*0.8)</f>
        <v>0</v>
      </c>
      <c r="K151" s="22"/>
      <c r="L151" s="22"/>
    </row>
    <row r="152" spans="1:15" x14ac:dyDescent="0.2">
      <c r="A152" s="18"/>
      <c r="B152" s="3"/>
      <c r="C152" s="17" t="s">
        <v>2</v>
      </c>
      <c r="D152" s="17" t="s">
        <v>16</v>
      </c>
      <c r="E152" s="19">
        <v>15</v>
      </c>
      <c r="F152" s="26"/>
      <c r="G152" s="26"/>
      <c r="H152" s="26"/>
      <c r="I152" s="26"/>
      <c r="J152" s="21">
        <f>(E152*F152)+(E152*G152/2)+((E152+E152*25/100)*H152)+(E154*I152*0.8)</f>
        <v>0</v>
      </c>
      <c r="K152" s="22"/>
      <c r="L152" s="22"/>
    </row>
    <row r="153" spans="1:15" x14ac:dyDescent="0.2">
      <c r="A153" s="18"/>
      <c r="B153" s="3"/>
      <c r="C153" s="17" t="s">
        <v>2</v>
      </c>
      <c r="D153" s="17" t="s">
        <v>17</v>
      </c>
      <c r="E153" s="19">
        <v>18</v>
      </c>
      <c r="F153" s="26"/>
      <c r="G153" s="26"/>
      <c r="H153" s="26"/>
      <c r="I153" s="26"/>
      <c r="J153" s="21">
        <f>(E153*F153)+(E153*G153/2)+((E153+E153*25/100)*H153)+(E154*I153*0.8)</f>
        <v>0</v>
      </c>
      <c r="K153" s="22"/>
      <c r="L153" s="22"/>
    </row>
    <row r="154" spans="1:15" ht="10.8" thickBot="1" x14ac:dyDescent="0.25">
      <c r="A154" s="41"/>
      <c r="B154" s="42"/>
      <c r="C154" s="43" t="s">
        <v>2</v>
      </c>
      <c r="D154" s="43" t="s">
        <v>18</v>
      </c>
      <c r="E154" s="44">
        <v>24</v>
      </c>
      <c r="F154" s="53"/>
      <c r="G154" s="53"/>
      <c r="H154" s="53"/>
      <c r="I154" s="53"/>
      <c r="J154" s="40">
        <f>(E154*F154)+(E154*G154/2)+((E154+E154*25/100)*H154)+(E154*I154*0.8)</f>
        <v>0</v>
      </c>
      <c r="K154" s="40">
        <v>0</v>
      </c>
      <c r="L154" s="40">
        <f>SUM(J145:J154)</f>
        <v>0</v>
      </c>
      <c r="M154" s="4">
        <f>SUM(F175:H175)</f>
        <v>0</v>
      </c>
      <c r="N154" s="4" t="e">
        <f>SUM(F176:H180)+#REF!</f>
        <v>#REF!</v>
      </c>
      <c r="O154" s="4">
        <f>SUM(F181:H184)</f>
        <v>0</v>
      </c>
    </row>
    <row r="155" spans="1:15" x14ac:dyDescent="0.2">
      <c r="A155" s="18" t="s">
        <v>33</v>
      </c>
      <c r="B155" s="3" t="s">
        <v>27</v>
      </c>
      <c r="C155" s="17" t="s">
        <v>1</v>
      </c>
      <c r="D155" s="17" t="s">
        <v>15</v>
      </c>
      <c r="E155" s="19">
        <v>30</v>
      </c>
      <c r="F155" s="20"/>
      <c r="G155" s="20"/>
      <c r="H155" s="20"/>
      <c r="I155" s="20"/>
      <c r="J155" s="38">
        <f>(E155*F155)+(E155*G155/2)+((E155+E155*25/100)*H155)+(E164*I155*0.8)</f>
        <v>0</v>
      </c>
      <c r="K155" s="19"/>
      <c r="L155" s="22"/>
    </row>
    <row r="156" spans="1:15" x14ac:dyDescent="0.2">
      <c r="A156" s="18"/>
      <c r="B156" s="3"/>
      <c r="C156" s="17" t="s">
        <v>0</v>
      </c>
      <c r="D156" s="17" t="s">
        <v>15</v>
      </c>
      <c r="E156" s="19">
        <v>5</v>
      </c>
      <c r="F156" s="26"/>
      <c r="G156" s="26"/>
      <c r="H156" s="26"/>
      <c r="I156" s="26"/>
      <c r="J156" s="21">
        <f>(E156*F156)+(E156*G156/2)+((E156+E156*25/100)*H156)+(E156*I156*0.8)</f>
        <v>0</v>
      </c>
      <c r="K156" s="19"/>
      <c r="L156" s="22"/>
    </row>
    <row r="157" spans="1:15" x14ac:dyDescent="0.2">
      <c r="A157" s="18"/>
      <c r="B157" s="3"/>
      <c r="C157" s="17" t="s">
        <v>0</v>
      </c>
      <c r="D157" s="17" t="s">
        <v>16</v>
      </c>
      <c r="E157" s="19">
        <v>10</v>
      </c>
      <c r="F157" s="26"/>
      <c r="G157" s="26"/>
      <c r="H157" s="26"/>
      <c r="I157" s="26"/>
      <c r="J157" s="21">
        <f>(E157*F157)+(E157*G157/2)+((E157+E157*25/100)*H157)+(E157*I157*0.8)</f>
        <v>0</v>
      </c>
      <c r="K157" s="19"/>
      <c r="L157" s="22"/>
    </row>
    <row r="158" spans="1:15" x14ac:dyDescent="0.2">
      <c r="A158" s="18"/>
      <c r="B158" s="3"/>
      <c r="C158" s="17" t="s">
        <v>0</v>
      </c>
      <c r="D158" s="17" t="s">
        <v>17</v>
      </c>
      <c r="E158" s="19">
        <v>20</v>
      </c>
      <c r="F158" s="26"/>
      <c r="G158" s="26"/>
      <c r="H158" s="26"/>
      <c r="I158" s="26"/>
      <c r="J158" s="21">
        <f>(E158*F158)+(E158*G158/2)+((E158+E158*25/100)*H158)+(E158*I158*0.8)</f>
        <v>0</v>
      </c>
      <c r="K158" s="19"/>
      <c r="L158" s="22"/>
    </row>
    <row r="159" spans="1:15" x14ac:dyDescent="0.2">
      <c r="A159" s="18"/>
      <c r="B159" s="3"/>
      <c r="C159" s="17" t="s">
        <v>0</v>
      </c>
      <c r="D159" s="17" t="s">
        <v>18</v>
      </c>
      <c r="E159" s="19">
        <v>28</v>
      </c>
      <c r="F159" s="26"/>
      <c r="G159" s="26"/>
      <c r="H159" s="26"/>
      <c r="I159" s="26"/>
      <c r="J159" s="21">
        <f>(E159*F159)+(E159*G159/2)+((E159+E159*25/100)*H159)+(E159*I159*0.8)</f>
        <v>0</v>
      </c>
      <c r="K159" s="19"/>
      <c r="L159" s="22"/>
    </row>
    <row r="160" spans="1:15" x14ac:dyDescent="0.2">
      <c r="A160" s="18"/>
      <c r="B160" s="3"/>
      <c r="C160" s="17" t="s">
        <v>0</v>
      </c>
      <c r="D160" s="17" t="s">
        <v>19</v>
      </c>
      <c r="E160" s="19">
        <v>38</v>
      </c>
      <c r="F160" s="26"/>
      <c r="G160" s="26"/>
      <c r="H160" s="26"/>
      <c r="I160" s="26"/>
      <c r="J160" s="21">
        <f>(E160*F160)+(E160*G160/2)+((E160+E160*25/100)*H160)+(E160*I160*0.8)</f>
        <v>0</v>
      </c>
      <c r="K160" s="22"/>
      <c r="L160" s="22"/>
    </row>
    <row r="161" spans="1:12" x14ac:dyDescent="0.2">
      <c r="A161" s="18"/>
      <c r="B161" s="3"/>
      <c r="C161" s="17" t="s">
        <v>2</v>
      </c>
      <c r="D161" s="17" t="s">
        <v>15</v>
      </c>
      <c r="E161" s="19">
        <v>10</v>
      </c>
      <c r="F161" s="26"/>
      <c r="G161" s="26"/>
      <c r="H161" s="26"/>
      <c r="I161" s="26"/>
      <c r="J161" s="21">
        <f>(E161*F161)+(E161*G161/2)+((E161+E161*25/100)*H161)+(E164*I161*0.8)</f>
        <v>0</v>
      </c>
      <c r="K161" s="22"/>
      <c r="L161" s="22"/>
    </row>
    <row r="162" spans="1:12" x14ac:dyDescent="0.2">
      <c r="A162" s="18"/>
      <c r="B162" s="3"/>
      <c r="C162" s="17" t="s">
        <v>2</v>
      </c>
      <c r="D162" s="17" t="s">
        <v>16</v>
      </c>
      <c r="E162" s="19">
        <v>15</v>
      </c>
      <c r="F162" s="26"/>
      <c r="G162" s="26"/>
      <c r="H162" s="26"/>
      <c r="I162" s="26"/>
      <c r="J162" s="21">
        <f>(E162*F162)+(E162*G162/2)+((E162+E162*25/100)*H162)+(E164*I162*0.8)</f>
        <v>0</v>
      </c>
      <c r="K162" s="22"/>
      <c r="L162" s="22"/>
    </row>
    <row r="163" spans="1:12" x14ac:dyDescent="0.2">
      <c r="A163" s="18"/>
      <c r="B163" s="3"/>
      <c r="C163" s="17" t="s">
        <v>2</v>
      </c>
      <c r="D163" s="17" t="s">
        <v>17</v>
      </c>
      <c r="E163" s="19">
        <v>18</v>
      </c>
      <c r="F163" s="26"/>
      <c r="G163" s="26"/>
      <c r="H163" s="26"/>
      <c r="I163" s="26"/>
      <c r="J163" s="21">
        <f>(E163*F163)+(E163*G163/2)+((E163+E163*25/100)*H163)+(E164*I163*0.8)</f>
        <v>0</v>
      </c>
      <c r="K163" s="22"/>
      <c r="L163" s="22"/>
    </row>
    <row r="164" spans="1:12" ht="10.8" thickBot="1" x14ac:dyDescent="0.25">
      <c r="A164" s="41"/>
      <c r="B164" s="42"/>
      <c r="C164" s="43" t="s">
        <v>2</v>
      </c>
      <c r="D164" s="43" t="s">
        <v>18</v>
      </c>
      <c r="E164" s="44">
        <v>24</v>
      </c>
      <c r="F164" s="53"/>
      <c r="G164" s="53"/>
      <c r="H164" s="53"/>
      <c r="I164" s="53"/>
      <c r="J164" s="40">
        <f>(E164*F164)+(E164*G164/2)+((E164+E164*25/100)*H164)+(E164*I164*0.8)</f>
        <v>0</v>
      </c>
      <c r="K164" s="40">
        <v>0</v>
      </c>
      <c r="L164" s="40">
        <f>SUM(J155:J164)</f>
        <v>0</v>
      </c>
    </row>
    <row r="165" spans="1:12" x14ac:dyDescent="0.2">
      <c r="A165" s="18" t="s">
        <v>33</v>
      </c>
      <c r="B165" s="3" t="s">
        <v>60</v>
      </c>
      <c r="C165" s="17" t="s">
        <v>1</v>
      </c>
      <c r="D165" s="17" t="s">
        <v>15</v>
      </c>
      <c r="E165" s="19">
        <v>30</v>
      </c>
      <c r="F165" s="20"/>
      <c r="G165" s="20"/>
      <c r="H165" s="20"/>
      <c r="I165" s="20"/>
      <c r="J165" s="38">
        <f>(E165*F165)+(E165*G165/2)+((E165+E165*25/100)*H165)+(E174*I165*0.8)</f>
        <v>0</v>
      </c>
      <c r="K165" s="19"/>
      <c r="L165" s="22"/>
    </row>
    <row r="166" spans="1:12" x14ac:dyDescent="0.2">
      <c r="A166" s="18"/>
      <c r="B166" s="3"/>
      <c r="C166" s="17" t="s">
        <v>0</v>
      </c>
      <c r="D166" s="17" t="s">
        <v>15</v>
      </c>
      <c r="E166" s="19">
        <v>5</v>
      </c>
      <c r="F166" s="26"/>
      <c r="G166" s="26"/>
      <c r="H166" s="26"/>
      <c r="I166" s="26"/>
      <c r="J166" s="21">
        <f>(E166*F166)+(E166*G166/2)+((E166+E166*25/100)*H166)+(E166*I166*0.8)</f>
        <v>0</v>
      </c>
      <c r="K166" s="19"/>
      <c r="L166" s="22"/>
    </row>
    <row r="167" spans="1:12" x14ac:dyDescent="0.2">
      <c r="A167" s="18"/>
      <c r="B167" s="3"/>
      <c r="C167" s="17" t="s">
        <v>0</v>
      </c>
      <c r="D167" s="17" t="s">
        <v>16</v>
      </c>
      <c r="E167" s="19">
        <v>10</v>
      </c>
      <c r="F167" s="26"/>
      <c r="G167" s="26"/>
      <c r="H167" s="26"/>
      <c r="I167" s="26"/>
      <c r="J167" s="21">
        <f>(E167*F167)+(E167*G167/2)+((E167+E167*25/100)*H167)+(E167*I167*0.8)</f>
        <v>0</v>
      </c>
      <c r="K167" s="19"/>
      <c r="L167" s="22"/>
    </row>
    <row r="168" spans="1:12" x14ac:dyDescent="0.2">
      <c r="A168" s="18"/>
      <c r="B168" s="3"/>
      <c r="C168" s="17" t="s">
        <v>0</v>
      </c>
      <c r="D168" s="17" t="s">
        <v>17</v>
      </c>
      <c r="E168" s="19">
        <v>20</v>
      </c>
      <c r="F168" s="26"/>
      <c r="G168" s="26"/>
      <c r="H168" s="26"/>
      <c r="I168" s="26"/>
      <c r="J168" s="21">
        <f>(E168*F168)+(E168*G168/2)+((E168+E168*25/100)*H168)+(E168*I168*0.8)</f>
        <v>0</v>
      </c>
      <c r="K168" s="19"/>
      <c r="L168" s="22"/>
    </row>
    <row r="169" spans="1:12" x14ac:dyDescent="0.2">
      <c r="A169" s="18"/>
      <c r="B169" s="3"/>
      <c r="C169" s="17" t="s">
        <v>0</v>
      </c>
      <c r="D169" s="17" t="s">
        <v>18</v>
      </c>
      <c r="E169" s="19">
        <v>28</v>
      </c>
      <c r="F169" s="26"/>
      <c r="G169" s="26"/>
      <c r="H169" s="26"/>
      <c r="I169" s="26"/>
      <c r="J169" s="21">
        <f>(E169*F169)+(E169*G169/2)+((E169+E169*25/100)*H169)+(E169*I169*0.8)</f>
        <v>0</v>
      </c>
      <c r="K169" s="19"/>
      <c r="L169" s="22"/>
    </row>
    <row r="170" spans="1:12" x14ac:dyDescent="0.2">
      <c r="A170" s="18"/>
      <c r="B170" s="3"/>
      <c r="C170" s="17" t="s">
        <v>0</v>
      </c>
      <c r="D170" s="17" t="s">
        <v>19</v>
      </c>
      <c r="E170" s="19">
        <v>38</v>
      </c>
      <c r="F170" s="26"/>
      <c r="G170" s="26"/>
      <c r="H170" s="26"/>
      <c r="I170" s="26"/>
      <c r="J170" s="21">
        <f>(E170*F170)+(E170*G170/2)+((E170+E170*25/100)*H170)+(E170*I170*0.8)</f>
        <v>0</v>
      </c>
      <c r="K170" s="22"/>
      <c r="L170" s="22"/>
    </row>
    <row r="171" spans="1:12" x14ac:dyDescent="0.2">
      <c r="A171" s="18"/>
      <c r="B171" s="3"/>
      <c r="C171" s="17" t="s">
        <v>2</v>
      </c>
      <c r="D171" s="17" t="s">
        <v>15</v>
      </c>
      <c r="E171" s="19">
        <v>10</v>
      </c>
      <c r="F171" s="26"/>
      <c r="G171" s="26"/>
      <c r="H171" s="26"/>
      <c r="I171" s="26"/>
      <c r="J171" s="21">
        <f>(E171*F171)+(E171*G171/2)+((E171+E171*25/100)*H171)+(E174*I171*0.8)</f>
        <v>0</v>
      </c>
      <c r="K171" s="22"/>
      <c r="L171" s="22"/>
    </row>
    <row r="172" spans="1:12" x14ac:dyDescent="0.2">
      <c r="A172" s="18"/>
      <c r="B172" s="3"/>
      <c r="C172" s="17" t="s">
        <v>2</v>
      </c>
      <c r="D172" s="17" t="s">
        <v>16</v>
      </c>
      <c r="E172" s="19">
        <v>15</v>
      </c>
      <c r="F172" s="26"/>
      <c r="G172" s="26"/>
      <c r="H172" s="26"/>
      <c r="I172" s="26"/>
      <c r="J172" s="21">
        <f>(E172*F172)+(E172*G172/2)+((E172+E172*25/100)*H172)+(E174*I172*0.8)</f>
        <v>0</v>
      </c>
      <c r="K172" s="22"/>
      <c r="L172" s="22"/>
    </row>
    <row r="173" spans="1:12" x14ac:dyDescent="0.2">
      <c r="A173" s="18"/>
      <c r="B173" s="3"/>
      <c r="C173" s="17" t="s">
        <v>2</v>
      </c>
      <c r="D173" s="17" t="s">
        <v>17</v>
      </c>
      <c r="E173" s="19">
        <v>18</v>
      </c>
      <c r="F173" s="26"/>
      <c r="G173" s="26"/>
      <c r="H173" s="26"/>
      <c r="I173" s="26"/>
      <c r="J173" s="21">
        <f>(E173*F173)+(E173*G173/2)+((E173+E173*25/100)*H173)+(E174*I173*0.8)</f>
        <v>0</v>
      </c>
      <c r="K173" s="22"/>
      <c r="L173" s="22"/>
    </row>
    <row r="174" spans="1:12" ht="10.8" thickBot="1" x14ac:dyDescent="0.25">
      <c r="A174" s="41"/>
      <c r="B174" s="42"/>
      <c r="C174" s="43" t="s">
        <v>2</v>
      </c>
      <c r="D174" s="43" t="s">
        <v>18</v>
      </c>
      <c r="E174" s="44">
        <v>24</v>
      </c>
      <c r="F174" s="53"/>
      <c r="G174" s="53"/>
      <c r="H174" s="53"/>
      <c r="I174" s="53"/>
      <c r="J174" s="40">
        <f>(E174*F174)+(E174*G174/2)+((E174+E174*25/100)*H174)+(E174*I174*0.8)</f>
        <v>0</v>
      </c>
      <c r="K174" s="40">
        <v>0</v>
      </c>
      <c r="L174" s="40">
        <f>SUM(J165:J174)</f>
        <v>0</v>
      </c>
    </row>
    <row r="175" spans="1:12" x14ac:dyDescent="0.2">
      <c r="A175" s="18" t="s">
        <v>33</v>
      </c>
      <c r="B175" s="3" t="s">
        <v>29</v>
      </c>
      <c r="C175" s="17" t="s">
        <v>1</v>
      </c>
      <c r="D175" s="17" t="s">
        <v>15</v>
      </c>
      <c r="E175" s="19">
        <v>30</v>
      </c>
      <c r="F175" s="20"/>
      <c r="G175" s="20"/>
      <c r="H175" s="20"/>
      <c r="I175" s="20"/>
      <c r="J175" s="38">
        <f>(E175*F175)+(E175*G175/2)+((E175+E175*25/100)*H175)+(E184*I175*0.8)</f>
        <v>0</v>
      </c>
      <c r="K175" s="19"/>
      <c r="L175" s="22"/>
    </row>
    <row r="176" spans="1:12" x14ac:dyDescent="0.2">
      <c r="A176" s="18"/>
      <c r="B176" s="3"/>
      <c r="C176" s="17" t="s">
        <v>0</v>
      </c>
      <c r="D176" s="17" t="s">
        <v>15</v>
      </c>
      <c r="E176" s="19">
        <v>5</v>
      </c>
      <c r="F176" s="26"/>
      <c r="G176" s="26"/>
      <c r="H176" s="26"/>
      <c r="I176" s="26"/>
      <c r="J176" s="21">
        <f>(E176*F176)+(E176*G176/2)+((E176+E176*25/100)*H176)+(E176*I176*0.8)</f>
        <v>0</v>
      </c>
      <c r="K176" s="19"/>
      <c r="L176" s="22"/>
    </row>
    <row r="177" spans="1:15" x14ac:dyDescent="0.2">
      <c r="A177" s="18"/>
      <c r="B177" s="3"/>
      <c r="C177" s="17" t="s">
        <v>0</v>
      </c>
      <c r="D177" s="17" t="s">
        <v>16</v>
      </c>
      <c r="E177" s="19">
        <v>10</v>
      </c>
      <c r="F177" s="26"/>
      <c r="G177" s="26"/>
      <c r="H177" s="26"/>
      <c r="I177" s="26"/>
      <c r="J177" s="21">
        <f>(E177*F177)+(E177*G177/2)+((E177+E177*25/100)*H177)+(E177*I177*0.8)</f>
        <v>0</v>
      </c>
      <c r="K177" s="19"/>
      <c r="L177" s="22"/>
    </row>
    <row r="178" spans="1:15" x14ac:dyDescent="0.2">
      <c r="A178" s="18"/>
      <c r="B178" s="3"/>
      <c r="C178" s="17" t="s">
        <v>0</v>
      </c>
      <c r="D178" s="17" t="s">
        <v>17</v>
      </c>
      <c r="E178" s="19">
        <v>20</v>
      </c>
      <c r="F178" s="26"/>
      <c r="G178" s="26"/>
      <c r="H178" s="26"/>
      <c r="I178" s="26"/>
      <c r="J178" s="21">
        <f>(E178*F178)+(E178*G178/2)+((E178+E178*25/100)*H178)+(E178*I178*0.8)</f>
        <v>0</v>
      </c>
      <c r="K178" s="19"/>
      <c r="L178" s="22"/>
    </row>
    <row r="179" spans="1:15" x14ac:dyDescent="0.2">
      <c r="A179" s="18"/>
      <c r="B179" s="3"/>
      <c r="C179" s="17" t="s">
        <v>0</v>
      </c>
      <c r="D179" s="17" t="s">
        <v>18</v>
      </c>
      <c r="E179" s="19">
        <v>28</v>
      </c>
      <c r="F179" s="26"/>
      <c r="G179" s="26"/>
      <c r="H179" s="26"/>
      <c r="I179" s="26"/>
      <c r="J179" s="21">
        <f>(E179*F179)+(E179*G179/2)+((E179+E179*25/100)*H179)+(E179*I179*0.8)</f>
        <v>0</v>
      </c>
      <c r="K179" s="19"/>
      <c r="L179" s="22"/>
    </row>
    <row r="180" spans="1:15" x14ac:dyDescent="0.2">
      <c r="A180" s="18"/>
      <c r="B180" s="3"/>
      <c r="C180" s="17" t="s">
        <v>0</v>
      </c>
      <c r="D180" s="17" t="s">
        <v>19</v>
      </c>
      <c r="E180" s="19">
        <v>38</v>
      </c>
      <c r="F180" s="26"/>
      <c r="G180" s="26"/>
      <c r="H180" s="26"/>
      <c r="I180" s="26"/>
      <c r="J180" s="21">
        <f>(E180*F180)+(E180*G180/2)+((E180+E180*25/100)*H180)+(E180*I180*0.8)</f>
        <v>0</v>
      </c>
      <c r="K180" s="22"/>
      <c r="L180" s="22"/>
    </row>
    <row r="181" spans="1:15" x14ac:dyDescent="0.2">
      <c r="A181" s="18"/>
      <c r="B181" s="3"/>
      <c r="C181" s="17" t="s">
        <v>2</v>
      </c>
      <c r="D181" s="17" t="s">
        <v>15</v>
      </c>
      <c r="E181" s="19">
        <v>10</v>
      </c>
      <c r="F181" s="26"/>
      <c r="G181" s="26"/>
      <c r="H181" s="26"/>
      <c r="I181" s="26"/>
      <c r="J181" s="21">
        <f>(E181*F181)+(E181*G181/2)+((E181+E181*25/100)*H181)+(E184*I181*0.8)</f>
        <v>0</v>
      </c>
      <c r="K181" s="22"/>
      <c r="L181" s="22"/>
    </row>
    <row r="182" spans="1:15" x14ac:dyDescent="0.2">
      <c r="A182" s="18"/>
      <c r="B182" s="3"/>
      <c r="C182" s="17" t="s">
        <v>2</v>
      </c>
      <c r="D182" s="17" t="s">
        <v>16</v>
      </c>
      <c r="E182" s="19">
        <v>15</v>
      </c>
      <c r="F182" s="26"/>
      <c r="G182" s="26"/>
      <c r="H182" s="26"/>
      <c r="I182" s="26"/>
      <c r="J182" s="21">
        <f>(E182*F182)+(E182*G182/2)+((E182+E182*25/100)*H182)+(E184*I182*0.8)</f>
        <v>0</v>
      </c>
      <c r="K182" s="22"/>
      <c r="L182" s="22"/>
    </row>
    <row r="183" spans="1:15" x14ac:dyDescent="0.2">
      <c r="A183" s="18"/>
      <c r="B183" s="3"/>
      <c r="C183" s="17" t="s">
        <v>2</v>
      </c>
      <c r="D183" s="17" t="s">
        <v>17</v>
      </c>
      <c r="E183" s="19">
        <v>18</v>
      </c>
      <c r="F183" s="26"/>
      <c r="G183" s="26"/>
      <c r="H183" s="26"/>
      <c r="I183" s="26"/>
      <c r="J183" s="21">
        <f>(E183*F183)+(E183*G183/2)+((E183+E183*25/100)*H183)+(E184*I183*0.8)</f>
        <v>0</v>
      </c>
      <c r="K183" s="22"/>
      <c r="L183" s="22"/>
    </row>
    <row r="184" spans="1:15" ht="10.8" thickBot="1" x14ac:dyDescent="0.25">
      <c r="A184" s="41"/>
      <c r="B184" s="42"/>
      <c r="C184" s="43" t="s">
        <v>2</v>
      </c>
      <c r="D184" s="43" t="s">
        <v>18</v>
      </c>
      <c r="E184" s="44">
        <v>24</v>
      </c>
      <c r="F184" s="53"/>
      <c r="G184" s="53"/>
      <c r="H184" s="53"/>
      <c r="I184" s="53"/>
      <c r="J184" s="40">
        <f>(E184*F184)+(E184*G184/2)+((E184+E184*25/100)*H184)+(E184*I184*0.8)</f>
        <v>0</v>
      </c>
      <c r="K184" s="40">
        <v>0</v>
      </c>
      <c r="L184" s="40">
        <f>SUM(J175:J184)</f>
        <v>0</v>
      </c>
    </row>
    <row r="185" spans="1:15" x14ac:dyDescent="0.2">
      <c r="A185" s="18" t="s">
        <v>33</v>
      </c>
      <c r="B185" s="3" t="s">
        <v>54</v>
      </c>
      <c r="C185" s="17" t="s">
        <v>1</v>
      </c>
      <c r="D185" s="17" t="s">
        <v>15</v>
      </c>
      <c r="E185" s="19">
        <v>30</v>
      </c>
      <c r="F185" s="20"/>
      <c r="G185" s="20"/>
      <c r="H185" s="20"/>
      <c r="I185" s="20"/>
      <c r="J185" s="38">
        <f>(E185*F185)+(E185*G185/2)+((E185+E185*25/100)*H185)+(E194*I185*0.8)</f>
        <v>0</v>
      </c>
      <c r="K185" s="19"/>
      <c r="L185" s="22"/>
      <c r="M185" s="4">
        <f>SUM(F210:H210)</f>
        <v>0</v>
      </c>
      <c r="N185" s="4" t="e">
        <f>SUM(F211:H215)+#REF!</f>
        <v>#REF!</v>
      </c>
      <c r="O185" s="4">
        <f>SUM(F216:H219)</f>
        <v>0</v>
      </c>
    </row>
    <row r="186" spans="1:15" x14ac:dyDescent="0.2">
      <c r="A186" s="18"/>
      <c r="B186" s="3"/>
      <c r="C186" s="17" t="s">
        <v>0</v>
      </c>
      <c r="D186" s="17" t="s">
        <v>15</v>
      </c>
      <c r="E186" s="19">
        <v>5</v>
      </c>
      <c r="F186" s="26"/>
      <c r="G186" s="26"/>
      <c r="H186" s="26"/>
      <c r="I186" s="26"/>
      <c r="J186" s="21">
        <f>(E186*F186)+(E186*G186/2)+((E186+E186*25/100)*H186)+(E186*I186*0.8)</f>
        <v>0</v>
      </c>
      <c r="K186" s="19"/>
      <c r="L186" s="22"/>
    </row>
    <row r="187" spans="1:15" x14ac:dyDescent="0.2">
      <c r="A187" s="18"/>
      <c r="B187" s="3"/>
      <c r="C187" s="17" t="s">
        <v>0</v>
      </c>
      <c r="D187" s="17" t="s">
        <v>16</v>
      </c>
      <c r="E187" s="19">
        <v>10</v>
      </c>
      <c r="F187" s="26"/>
      <c r="G187" s="26"/>
      <c r="H187" s="26"/>
      <c r="I187" s="26"/>
      <c r="J187" s="21">
        <f>(E187*F187)+(E187*G187/2)+((E187+E187*25/100)*H187)+(E187*I187*0.8)</f>
        <v>0</v>
      </c>
      <c r="K187" s="19"/>
      <c r="L187" s="22"/>
    </row>
    <row r="188" spans="1:15" x14ac:dyDescent="0.2">
      <c r="A188" s="18"/>
      <c r="B188" s="3"/>
      <c r="C188" s="17" t="s">
        <v>0</v>
      </c>
      <c r="D188" s="17" t="s">
        <v>17</v>
      </c>
      <c r="E188" s="19">
        <v>20</v>
      </c>
      <c r="F188" s="26"/>
      <c r="G188" s="26"/>
      <c r="H188" s="26"/>
      <c r="I188" s="26"/>
      <c r="J188" s="21">
        <f>(E188*F188)+(E188*G188/2)+((E188+E188*25/100)*H188)+(E188*I188*0.8)</f>
        <v>0</v>
      </c>
      <c r="K188" s="19"/>
      <c r="L188" s="22"/>
    </row>
    <row r="189" spans="1:15" x14ac:dyDescent="0.2">
      <c r="A189" s="18"/>
      <c r="B189" s="3"/>
      <c r="C189" s="17" t="s">
        <v>0</v>
      </c>
      <c r="D189" s="17" t="s">
        <v>18</v>
      </c>
      <c r="E189" s="19">
        <v>28</v>
      </c>
      <c r="F189" s="26"/>
      <c r="G189" s="26"/>
      <c r="H189" s="26"/>
      <c r="I189" s="26"/>
      <c r="J189" s="21">
        <f>(E189*F189)+(E189*G189/2)+((E189+E189*25/100)*H189)+(E189*I189*0.8)</f>
        <v>0</v>
      </c>
      <c r="K189" s="19"/>
      <c r="L189" s="22"/>
    </row>
    <row r="190" spans="1:15" x14ac:dyDescent="0.2">
      <c r="A190" s="18"/>
      <c r="B190" s="3"/>
      <c r="C190" s="17" t="s">
        <v>0</v>
      </c>
      <c r="D190" s="17" t="s">
        <v>19</v>
      </c>
      <c r="E190" s="19">
        <v>38</v>
      </c>
      <c r="F190" s="26"/>
      <c r="G190" s="26"/>
      <c r="H190" s="26"/>
      <c r="I190" s="26"/>
      <c r="J190" s="21">
        <f>(E190*F190)+(E190*G190/2)+((E190+E190*25/100)*H190)+(E190*I190*0.8)</f>
        <v>0</v>
      </c>
      <c r="K190" s="22"/>
      <c r="L190" s="22"/>
    </row>
    <row r="191" spans="1:15" x14ac:dyDescent="0.2">
      <c r="A191" s="18"/>
      <c r="B191" s="3"/>
      <c r="C191" s="17" t="s">
        <v>2</v>
      </c>
      <c r="D191" s="17" t="s">
        <v>15</v>
      </c>
      <c r="E191" s="19">
        <v>10</v>
      </c>
      <c r="F191" s="26"/>
      <c r="G191" s="26"/>
      <c r="H191" s="26"/>
      <c r="I191" s="26"/>
      <c r="J191" s="21">
        <f>(E191*F191)+(E191*G191/2)+((E191+E191*25/100)*H191)+(E194*I191*0.8)</f>
        <v>0</v>
      </c>
      <c r="K191" s="22"/>
      <c r="L191" s="22"/>
    </row>
    <row r="192" spans="1:15" x14ac:dyDescent="0.2">
      <c r="A192" s="18"/>
      <c r="B192" s="3"/>
      <c r="C192" s="17" t="s">
        <v>2</v>
      </c>
      <c r="D192" s="17" t="s">
        <v>16</v>
      </c>
      <c r="E192" s="19">
        <v>15</v>
      </c>
      <c r="F192" s="26"/>
      <c r="G192" s="26"/>
      <c r="H192" s="26"/>
      <c r="I192" s="26"/>
      <c r="J192" s="21">
        <f>(E192*F192)+(E192*G192/2)+((E192+E192*25/100)*H192)+(E194*I192*0.8)</f>
        <v>0</v>
      </c>
      <c r="K192" s="22"/>
      <c r="L192" s="22"/>
    </row>
    <row r="193" spans="1:12" x14ac:dyDescent="0.2">
      <c r="A193" s="18"/>
      <c r="B193" s="3"/>
      <c r="C193" s="17" t="s">
        <v>2</v>
      </c>
      <c r="D193" s="17" t="s">
        <v>17</v>
      </c>
      <c r="E193" s="19">
        <v>18</v>
      </c>
      <c r="F193" s="26"/>
      <c r="G193" s="26"/>
      <c r="H193" s="26"/>
      <c r="I193" s="26"/>
      <c r="J193" s="21">
        <f>(E193*F193)+(E193*G193/2)+((E193+E193*25/100)*H193)+(E194*I193*0.8)</f>
        <v>0</v>
      </c>
      <c r="K193" s="22"/>
      <c r="L193" s="22"/>
    </row>
    <row r="194" spans="1:12" ht="12.75" customHeight="1" thickBot="1" x14ac:dyDescent="0.25">
      <c r="A194" s="41"/>
      <c r="B194" s="42"/>
      <c r="C194" s="43" t="s">
        <v>2</v>
      </c>
      <c r="D194" s="43" t="s">
        <v>18</v>
      </c>
      <c r="E194" s="44">
        <v>24</v>
      </c>
      <c r="F194" s="53"/>
      <c r="G194" s="53"/>
      <c r="H194" s="53"/>
      <c r="I194" s="53"/>
      <c r="J194" s="40">
        <f>(E194*F194)+(E194*G194/2)+((E194+E194*25/100)*H194)+(E194*I194*0.8)</f>
        <v>0</v>
      </c>
      <c r="K194" s="40">
        <v>0</v>
      </c>
      <c r="L194" s="40">
        <f>SUM(J185:J194)</f>
        <v>0</v>
      </c>
    </row>
    <row r="195" spans="1:12" ht="12.75" customHeight="1" x14ac:dyDescent="0.2">
      <c r="A195" s="3"/>
      <c r="B195" s="3"/>
      <c r="C195" s="3"/>
      <c r="D195" s="3"/>
      <c r="E195" s="36"/>
      <c r="F195" s="37"/>
      <c r="G195" s="37"/>
      <c r="H195" s="37"/>
      <c r="I195" s="37"/>
      <c r="J195" s="36"/>
      <c r="K195" s="36"/>
      <c r="L195" s="36"/>
    </row>
    <row r="196" spans="1:12" ht="12.75" customHeight="1" x14ac:dyDescent="0.2">
      <c r="A196" s="3"/>
      <c r="B196" s="3"/>
      <c r="C196" s="3"/>
      <c r="D196" s="3"/>
      <c r="E196" s="36"/>
      <c r="F196" s="37"/>
      <c r="G196" s="37"/>
      <c r="H196" s="37"/>
      <c r="I196" s="37"/>
      <c r="J196" s="36"/>
      <c r="K196" s="36"/>
      <c r="L196" s="36"/>
    </row>
    <row r="197" spans="1:12" ht="12.75" customHeight="1" x14ac:dyDescent="0.2">
      <c r="A197" s="3"/>
      <c r="B197" s="3"/>
      <c r="C197" s="3"/>
      <c r="D197" s="3"/>
      <c r="E197" s="36"/>
      <c r="F197" s="37"/>
      <c r="G197" s="37"/>
      <c r="H197" s="37"/>
      <c r="I197" s="37"/>
      <c r="J197" s="36"/>
      <c r="K197" s="36"/>
      <c r="L197" s="36"/>
    </row>
    <row r="198" spans="1:12" ht="12.75" customHeight="1" thickBot="1" x14ac:dyDescent="0.25">
      <c r="A198" s="50"/>
      <c r="B198" s="50"/>
      <c r="C198" s="50"/>
      <c r="D198" s="50"/>
      <c r="E198" s="51"/>
      <c r="F198" s="52"/>
      <c r="G198" s="52"/>
      <c r="H198" s="52"/>
      <c r="I198" s="52"/>
      <c r="J198" s="51"/>
      <c r="K198" s="51"/>
      <c r="L198" s="51"/>
    </row>
    <row r="199" spans="1:12" ht="21" thickBot="1" x14ac:dyDescent="0.25">
      <c r="A199" s="54" t="s">
        <v>6</v>
      </c>
      <c r="B199" s="55" t="s">
        <v>7</v>
      </c>
      <c r="C199" s="56" t="s">
        <v>8</v>
      </c>
      <c r="D199" s="56" t="s">
        <v>9</v>
      </c>
      <c r="E199" s="56" t="s">
        <v>10</v>
      </c>
      <c r="F199" s="56" t="s">
        <v>11</v>
      </c>
      <c r="G199" s="56" t="s">
        <v>12</v>
      </c>
      <c r="H199" s="56" t="s">
        <v>28</v>
      </c>
      <c r="I199" s="56" t="s">
        <v>30</v>
      </c>
      <c r="J199" s="57" t="s">
        <v>13</v>
      </c>
      <c r="K199" s="57" t="s">
        <v>31</v>
      </c>
      <c r="L199" s="46" t="s">
        <v>14</v>
      </c>
    </row>
    <row r="200" spans="1:12" ht="12.75" customHeight="1" x14ac:dyDescent="0.2">
      <c r="A200" s="18" t="s">
        <v>33</v>
      </c>
      <c r="B200" s="3" t="s">
        <v>44</v>
      </c>
      <c r="C200" s="17" t="s">
        <v>1</v>
      </c>
      <c r="D200" s="17" t="s">
        <v>15</v>
      </c>
      <c r="E200" s="19">
        <v>30</v>
      </c>
      <c r="F200" s="20"/>
      <c r="G200" s="20"/>
      <c r="H200" s="20"/>
      <c r="I200" s="20"/>
      <c r="J200" s="38">
        <f>(E200*F200)+(E200*G200/2)+((E200+E200*25/100)*H200)+(E209*I200*0.8)</f>
        <v>0</v>
      </c>
      <c r="K200" s="19"/>
      <c r="L200" s="22"/>
    </row>
    <row r="201" spans="1:12" ht="12.75" customHeight="1" x14ac:dyDescent="0.2">
      <c r="A201" s="18"/>
      <c r="B201" s="3"/>
      <c r="C201" s="17" t="s">
        <v>0</v>
      </c>
      <c r="D201" s="17" t="s">
        <v>15</v>
      </c>
      <c r="E201" s="19">
        <v>5</v>
      </c>
      <c r="F201" s="26"/>
      <c r="G201" s="26"/>
      <c r="H201" s="26"/>
      <c r="I201" s="26"/>
      <c r="J201" s="21">
        <f>(E201*F201)+(E201*G201/2)+((E201+E201*25/100)*H201)+(E201*I201*0.8)</f>
        <v>0</v>
      </c>
      <c r="K201" s="19"/>
      <c r="L201" s="22"/>
    </row>
    <row r="202" spans="1:12" ht="12.75" customHeight="1" x14ac:dyDescent="0.2">
      <c r="A202" s="18"/>
      <c r="B202" s="3"/>
      <c r="C202" s="17" t="s">
        <v>0</v>
      </c>
      <c r="D202" s="17" t="s">
        <v>16</v>
      </c>
      <c r="E202" s="19">
        <v>10</v>
      </c>
      <c r="F202" s="26"/>
      <c r="G202" s="26"/>
      <c r="H202" s="26"/>
      <c r="I202" s="26"/>
      <c r="J202" s="21">
        <f>(E202*F202)+(E202*G202/2)+((E202+E202*25/100)*H202)+(E202*I202*0.8)</f>
        <v>0</v>
      </c>
      <c r="K202" s="19"/>
      <c r="L202" s="22"/>
    </row>
    <row r="203" spans="1:12" ht="12.75" customHeight="1" x14ac:dyDescent="0.2">
      <c r="A203" s="18"/>
      <c r="B203" s="3"/>
      <c r="C203" s="17" t="s">
        <v>0</v>
      </c>
      <c r="D203" s="17" t="s">
        <v>17</v>
      </c>
      <c r="E203" s="19">
        <v>20</v>
      </c>
      <c r="F203" s="26"/>
      <c r="G203" s="26"/>
      <c r="H203" s="26"/>
      <c r="I203" s="26"/>
      <c r="J203" s="21">
        <f>(E203*F203)+(E203*G203/2)+((E203+E203*25/100)*H203)+(E203*I203*0.8)</f>
        <v>0</v>
      </c>
      <c r="K203" s="19"/>
      <c r="L203" s="22"/>
    </row>
    <row r="204" spans="1:12" ht="12.75" customHeight="1" x14ac:dyDescent="0.2">
      <c r="A204" s="18"/>
      <c r="B204" s="3"/>
      <c r="C204" s="17" t="s">
        <v>0</v>
      </c>
      <c r="D204" s="17" t="s">
        <v>18</v>
      </c>
      <c r="E204" s="19">
        <v>28</v>
      </c>
      <c r="F204" s="26"/>
      <c r="G204" s="26"/>
      <c r="H204" s="26"/>
      <c r="I204" s="26"/>
      <c r="J204" s="21">
        <f>(E204*F204)+(E204*G204/2)+((E204+E204*25/100)*H204)+(E204*I204*0.8)</f>
        <v>0</v>
      </c>
      <c r="K204" s="19"/>
      <c r="L204" s="22"/>
    </row>
    <row r="205" spans="1:12" ht="12.75" customHeight="1" x14ac:dyDescent="0.2">
      <c r="A205" s="18"/>
      <c r="B205" s="3"/>
      <c r="C205" s="17" t="s">
        <v>0</v>
      </c>
      <c r="D205" s="17" t="s">
        <v>19</v>
      </c>
      <c r="E205" s="19">
        <v>38</v>
      </c>
      <c r="F205" s="26"/>
      <c r="G205" s="26"/>
      <c r="H205" s="26"/>
      <c r="I205" s="26"/>
      <c r="J205" s="21">
        <f>(E205*F205)+(E205*G205/2)+((E205+E205*25/100)*H205)+(E205*I205*0.8)</f>
        <v>0</v>
      </c>
      <c r="K205" s="22"/>
      <c r="L205" s="22"/>
    </row>
    <row r="206" spans="1:12" ht="12.75" customHeight="1" x14ac:dyDescent="0.2">
      <c r="A206" s="18"/>
      <c r="B206" s="3"/>
      <c r="C206" s="17" t="s">
        <v>2</v>
      </c>
      <c r="D206" s="17" t="s">
        <v>15</v>
      </c>
      <c r="E206" s="19">
        <v>10</v>
      </c>
      <c r="F206" s="26"/>
      <c r="G206" s="26"/>
      <c r="H206" s="26"/>
      <c r="I206" s="26"/>
      <c r="J206" s="21">
        <f>(E206*F206)+(E206*G206/2)+((E206+E206*25/100)*H206)+(E209*I206*0.8)</f>
        <v>0</v>
      </c>
      <c r="K206" s="22"/>
      <c r="L206" s="22"/>
    </row>
    <row r="207" spans="1:12" ht="12.75" customHeight="1" x14ac:dyDescent="0.2">
      <c r="A207" s="18"/>
      <c r="B207" s="3"/>
      <c r="C207" s="17" t="s">
        <v>2</v>
      </c>
      <c r="D207" s="17" t="s">
        <v>16</v>
      </c>
      <c r="E207" s="19">
        <v>15</v>
      </c>
      <c r="F207" s="26"/>
      <c r="G207" s="26"/>
      <c r="H207" s="26"/>
      <c r="I207" s="26"/>
      <c r="J207" s="21">
        <f>(E207*F207)+(E207*G207/2)+((E207+E207*25/100)*H207)+(E209*I207*0.8)</f>
        <v>0</v>
      </c>
      <c r="K207" s="22"/>
      <c r="L207" s="22"/>
    </row>
    <row r="208" spans="1:12" ht="12.75" customHeight="1" x14ac:dyDescent="0.2">
      <c r="A208" s="18"/>
      <c r="B208" s="3"/>
      <c r="C208" s="17" t="s">
        <v>2</v>
      </c>
      <c r="D208" s="17" t="s">
        <v>17</v>
      </c>
      <c r="E208" s="19">
        <v>18</v>
      </c>
      <c r="F208" s="26"/>
      <c r="G208" s="26"/>
      <c r="H208" s="26"/>
      <c r="I208" s="26"/>
      <c r="J208" s="21">
        <f>(E208*F208)+(E208*G208/2)+((E208+E208*25/100)*H208)+(E209*I208*0.8)</f>
        <v>0</v>
      </c>
      <c r="K208" s="22"/>
      <c r="L208" s="22"/>
    </row>
    <row r="209" spans="1:12" ht="12.75" customHeight="1" thickBot="1" x14ac:dyDescent="0.25">
      <c r="A209" s="41"/>
      <c r="B209" s="42"/>
      <c r="C209" s="43" t="s">
        <v>2</v>
      </c>
      <c r="D209" s="43" t="s">
        <v>18</v>
      </c>
      <c r="E209" s="44">
        <v>24</v>
      </c>
      <c r="F209" s="53"/>
      <c r="G209" s="53"/>
      <c r="H209" s="53"/>
      <c r="I209" s="53"/>
      <c r="J209" s="40">
        <f>(E209*F209)+(E209*G209/2)+((E209+E209*25/100)*H209)+(E209*I209*0.8)</f>
        <v>0</v>
      </c>
      <c r="K209" s="40">
        <v>0</v>
      </c>
      <c r="L209" s="40">
        <f>SUM(J200:J209)</f>
        <v>0</v>
      </c>
    </row>
    <row r="210" spans="1:12" ht="12.75" customHeight="1" x14ac:dyDescent="0.2">
      <c r="A210" s="18" t="s">
        <v>33</v>
      </c>
      <c r="B210" s="3" t="s">
        <v>38</v>
      </c>
      <c r="C210" s="17" t="s">
        <v>1</v>
      </c>
      <c r="D210" s="17" t="s">
        <v>15</v>
      </c>
      <c r="E210" s="19">
        <v>30</v>
      </c>
      <c r="F210" s="26"/>
      <c r="G210" s="26"/>
      <c r="H210" s="26"/>
      <c r="I210" s="26"/>
      <c r="J210" s="38">
        <f>(E210*F210)+(E210*G210/2)+((E210+E210*25/100)*H210)+(E219*I210*0.8)</f>
        <v>0</v>
      </c>
      <c r="K210" s="19"/>
      <c r="L210" s="22"/>
    </row>
    <row r="211" spans="1:12" ht="12.75" customHeight="1" x14ac:dyDescent="0.2">
      <c r="A211" s="18"/>
      <c r="B211" s="3"/>
      <c r="C211" s="17" t="s">
        <v>0</v>
      </c>
      <c r="D211" s="17" t="s">
        <v>15</v>
      </c>
      <c r="E211" s="19">
        <v>5</v>
      </c>
      <c r="F211" s="26"/>
      <c r="G211" s="26"/>
      <c r="H211" s="26"/>
      <c r="I211" s="26"/>
      <c r="J211" s="21">
        <f>(E211*F211)+(E211*G211/2)+((E211+E211*25/100)*H211)+(E211*I211*0.8)</f>
        <v>0</v>
      </c>
      <c r="K211" s="19"/>
      <c r="L211" s="22"/>
    </row>
    <row r="212" spans="1:12" ht="12.75" customHeight="1" x14ac:dyDescent="0.2">
      <c r="A212" s="18"/>
      <c r="B212" s="3"/>
      <c r="C212" s="17" t="s">
        <v>0</v>
      </c>
      <c r="D212" s="17" t="s">
        <v>16</v>
      </c>
      <c r="E212" s="19">
        <v>10</v>
      </c>
      <c r="F212" s="26"/>
      <c r="G212" s="26"/>
      <c r="H212" s="26"/>
      <c r="I212" s="26"/>
      <c r="J212" s="21">
        <f>(E212*F212)+(E212*G212/2)+((E212+E212*25/100)*H212)+(E212*I212*0.8)</f>
        <v>0</v>
      </c>
      <c r="K212" s="19"/>
      <c r="L212" s="22"/>
    </row>
    <row r="213" spans="1:12" ht="12.75" customHeight="1" x14ac:dyDescent="0.2">
      <c r="A213" s="18"/>
      <c r="B213" s="3"/>
      <c r="C213" s="17" t="s">
        <v>0</v>
      </c>
      <c r="D213" s="17" t="s">
        <v>17</v>
      </c>
      <c r="E213" s="19">
        <v>20</v>
      </c>
      <c r="F213" s="26"/>
      <c r="G213" s="26"/>
      <c r="H213" s="26"/>
      <c r="I213" s="26"/>
      <c r="J213" s="21">
        <f>(E213*F213)+(E213*G213/2)+((E213+E213*25/100)*H213)+(E213*I213*0.8)</f>
        <v>0</v>
      </c>
      <c r="K213" s="19"/>
      <c r="L213" s="22"/>
    </row>
    <row r="214" spans="1:12" ht="12.75" customHeight="1" x14ac:dyDescent="0.2">
      <c r="A214" s="18"/>
      <c r="B214" s="3"/>
      <c r="C214" s="17" t="s">
        <v>0</v>
      </c>
      <c r="D214" s="17" t="s">
        <v>18</v>
      </c>
      <c r="E214" s="19">
        <v>28</v>
      </c>
      <c r="F214" s="26"/>
      <c r="G214" s="26"/>
      <c r="H214" s="26"/>
      <c r="I214" s="26"/>
      <c r="J214" s="21">
        <f>(E214*F214)+(E214*G214/2)+((E214+E214*25/100)*H214)+(E214*I214*0.8)</f>
        <v>0</v>
      </c>
      <c r="K214" s="19"/>
      <c r="L214" s="22"/>
    </row>
    <row r="215" spans="1:12" x14ac:dyDescent="0.2">
      <c r="A215" s="18"/>
      <c r="B215" s="3"/>
      <c r="C215" s="17" t="s">
        <v>0</v>
      </c>
      <c r="D215" s="17" t="s">
        <v>19</v>
      </c>
      <c r="E215" s="19">
        <v>38</v>
      </c>
      <c r="F215" s="26"/>
      <c r="G215" s="26"/>
      <c r="H215" s="26"/>
      <c r="I215" s="26"/>
      <c r="J215" s="21">
        <f>(E215*F215)+(E215*G215/2)+((E215+E215*25/100)*H215)+(E215*I215*0.8)</f>
        <v>0</v>
      </c>
      <c r="K215" s="22"/>
      <c r="L215" s="22"/>
    </row>
    <row r="216" spans="1:12" x14ac:dyDescent="0.2">
      <c r="A216" s="18"/>
      <c r="B216" s="3"/>
      <c r="C216" s="17" t="s">
        <v>2</v>
      </c>
      <c r="D216" s="17" t="s">
        <v>15</v>
      </c>
      <c r="E216" s="19">
        <v>10</v>
      </c>
      <c r="F216" s="26"/>
      <c r="G216" s="26"/>
      <c r="H216" s="26"/>
      <c r="I216" s="26"/>
      <c r="J216" s="21">
        <f>(E216*F216)+(E216*G216/2)+((E216+E216*25/100)*H216)+(E219*I216*0.8)</f>
        <v>0</v>
      </c>
      <c r="K216" s="22"/>
      <c r="L216" s="22"/>
    </row>
    <row r="217" spans="1:12" x14ac:dyDescent="0.2">
      <c r="A217" s="18"/>
      <c r="B217" s="3"/>
      <c r="C217" s="17" t="s">
        <v>2</v>
      </c>
      <c r="D217" s="17" t="s">
        <v>16</v>
      </c>
      <c r="E217" s="19">
        <v>15</v>
      </c>
      <c r="F217" s="26"/>
      <c r="G217" s="26"/>
      <c r="H217" s="26"/>
      <c r="I217" s="26"/>
      <c r="J217" s="21">
        <f>(E217*F217)+(E217*G217/2)+((E217+E217*25/100)*H217)+(E219*I217*0.8)</f>
        <v>0</v>
      </c>
      <c r="K217" s="22"/>
      <c r="L217" s="22"/>
    </row>
    <row r="218" spans="1:12" x14ac:dyDescent="0.2">
      <c r="A218" s="18"/>
      <c r="B218" s="3"/>
      <c r="C218" s="17" t="s">
        <v>2</v>
      </c>
      <c r="D218" s="17" t="s">
        <v>17</v>
      </c>
      <c r="E218" s="19">
        <v>18</v>
      </c>
      <c r="F218" s="26"/>
      <c r="G218" s="26"/>
      <c r="H218" s="26"/>
      <c r="I218" s="26"/>
      <c r="J218" s="21">
        <f>(E218*F218)+(E218*G218/2)+((E218+E218*25/100)*H218)+(E219*I218*0.8)</f>
        <v>0</v>
      </c>
      <c r="K218" s="22"/>
      <c r="L218" s="22"/>
    </row>
    <row r="219" spans="1:12" ht="10.8" thickBot="1" x14ac:dyDescent="0.25">
      <c r="A219" s="41"/>
      <c r="B219" s="42"/>
      <c r="C219" s="43" t="s">
        <v>2</v>
      </c>
      <c r="D219" s="43" t="s">
        <v>18</v>
      </c>
      <c r="E219" s="44">
        <v>24</v>
      </c>
      <c r="F219" s="53"/>
      <c r="G219" s="53"/>
      <c r="H219" s="53"/>
      <c r="I219" s="53"/>
      <c r="J219" s="40">
        <f>(E219*F219)+(E219*G219/2)+((E219+E219*25/100)*H219)+(E219*I219*0.8)</f>
        <v>0</v>
      </c>
      <c r="K219" s="40">
        <v>0</v>
      </c>
      <c r="L219" s="40">
        <f>SUM(J210:J219)</f>
        <v>0</v>
      </c>
    </row>
    <row r="220" spans="1:12" x14ac:dyDescent="0.2">
      <c r="A220" s="18" t="s">
        <v>48</v>
      </c>
      <c r="B220" s="3" t="s">
        <v>49</v>
      </c>
      <c r="C220" s="17" t="s">
        <v>1</v>
      </c>
      <c r="D220" s="17" t="s">
        <v>15</v>
      </c>
      <c r="E220" s="19">
        <v>30</v>
      </c>
      <c r="F220" s="20"/>
      <c r="G220" s="20"/>
      <c r="H220" s="20"/>
      <c r="I220" s="20"/>
      <c r="J220" s="38">
        <f>(E220*F220)+(E220*G220/2)+((E220+E220*25/100)*H220)+(E229*I220*0.8)</f>
        <v>0</v>
      </c>
      <c r="K220" s="19"/>
      <c r="L220" s="22"/>
    </row>
    <row r="221" spans="1:12" x14ac:dyDescent="0.2">
      <c r="A221" s="18"/>
      <c r="B221" s="3"/>
      <c r="C221" s="17" t="s">
        <v>0</v>
      </c>
      <c r="D221" s="17" t="s">
        <v>15</v>
      </c>
      <c r="E221" s="19">
        <v>5</v>
      </c>
      <c r="F221" s="26"/>
      <c r="G221" s="26"/>
      <c r="H221" s="26"/>
      <c r="I221" s="26"/>
      <c r="J221" s="21">
        <f>(E221*F221)+(E221*G221/2)+((E221+E221*25/100)*H221)+(E221*I221*0.8)</f>
        <v>0</v>
      </c>
      <c r="K221" s="19"/>
      <c r="L221" s="22"/>
    </row>
    <row r="222" spans="1:12" x14ac:dyDescent="0.2">
      <c r="A222" s="18"/>
      <c r="B222" s="3"/>
      <c r="C222" s="17" t="s">
        <v>0</v>
      </c>
      <c r="D222" s="17" t="s">
        <v>16</v>
      </c>
      <c r="E222" s="19">
        <v>10</v>
      </c>
      <c r="F222" s="26"/>
      <c r="G222" s="26"/>
      <c r="H222" s="26"/>
      <c r="I222" s="26"/>
      <c r="J222" s="21">
        <f>(E222*F222)+(E222*G222/2)+((E222+E222*25/100)*H222)+(E222*I222*0.8)</f>
        <v>0</v>
      </c>
      <c r="K222" s="19"/>
      <c r="L222" s="22"/>
    </row>
    <row r="223" spans="1:12" x14ac:dyDescent="0.2">
      <c r="A223" s="18"/>
      <c r="B223" s="3"/>
      <c r="C223" s="17" t="s">
        <v>0</v>
      </c>
      <c r="D223" s="17" t="s">
        <v>17</v>
      </c>
      <c r="E223" s="19">
        <v>20</v>
      </c>
      <c r="F223" s="26"/>
      <c r="G223" s="26"/>
      <c r="H223" s="26"/>
      <c r="I223" s="26"/>
      <c r="J223" s="21">
        <f>(E223*F223)+(E223*G223/2)+((E223+E223*25/100)*H223)+(E223*I223*0.8)</f>
        <v>0</v>
      </c>
      <c r="K223" s="19"/>
      <c r="L223" s="22"/>
    </row>
    <row r="224" spans="1:12" x14ac:dyDescent="0.2">
      <c r="A224" s="18"/>
      <c r="B224" s="3"/>
      <c r="C224" s="17" t="s">
        <v>0</v>
      </c>
      <c r="D224" s="17" t="s">
        <v>18</v>
      </c>
      <c r="E224" s="19">
        <v>28</v>
      </c>
      <c r="F224" s="26"/>
      <c r="G224" s="26"/>
      <c r="H224" s="26"/>
      <c r="I224" s="26"/>
      <c r="J224" s="21">
        <f>(E224*F224)+(E224*G224/2)+((E224+E224*25/100)*H224)+(E224*I224*0.8)</f>
        <v>0</v>
      </c>
      <c r="K224" s="19"/>
      <c r="L224" s="22"/>
    </row>
    <row r="225" spans="1:12" x14ac:dyDescent="0.2">
      <c r="A225" s="18"/>
      <c r="B225" s="3"/>
      <c r="C225" s="17" t="s">
        <v>0</v>
      </c>
      <c r="D225" s="17" t="s">
        <v>19</v>
      </c>
      <c r="E225" s="19">
        <v>38</v>
      </c>
      <c r="F225" s="26"/>
      <c r="G225" s="26"/>
      <c r="H225" s="26"/>
      <c r="I225" s="26"/>
      <c r="J225" s="21">
        <f>(E225*F225)+(E225*G225/2)+((E225+E225*25/100)*H225)+(E225*I225*0.8)</f>
        <v>0</v>
      </c>
      <c r="K225" s="22"/>
      <c r="L225" s="22"/>
    </row>
    <row r="226" spans="1:12" x14ac:dyDescent="0.2">
      <c r="A226" s="18"/>
      <c r="B226" s="3"/>
      <c r="C226" s="17" t="s">
        <v>2</v>
      </c>
      <c r="D226" s="17" t="s">
        <v>15</v>
      </c>
      <c r="E226" s="19">
        <v>10</v>
      </c>
      <c r="F226" s="26"/>
      <c r="G226" s="26"/>
      <c r="H226" s="26"/>
      <c r="I226" s="26"/>
      <c r="J226" s="21">
        <f>(E226*F226)+(E226*G226/2)+((E226+E226*25/100)*H226)+(E229*I226*0.8)</f>
        <v>0</v>
      </c>
      <c r="K226" s="22"/>
      <c r="L226" s="22"/>
    </row>
    <row r="227" spans="1:12" x14ac:dyDescent="0.2">
      <c r="A227" s="18"/>
      <c r="B227" s="3"/>
      <c r="C227" s="17" t="s">
        <v>2</v>
      </c>
      <c r="D227" s="17" t="s">
        <v>16</v>
      </c>
      <c r="E227" s="19">
        <v>15</v>
      </c>
      <c r="F227" s="26"/>
      <c r="G227" s="26"/>
      <c r="H227" s="26"/>
      <c r="I227" s="26"/>
      <c r="J227" s="21">
        <f>(E227*F227)+(E227*G227/2)+((E227+E227*25/100)*H227)+(E229*I227*0.8)</f>
        <v>0</v>
      </c>
      <c r="K227" s="22"/>
      <c r="L227" s="22"/>
    </row>
    <row r="228" spans="1:12" x14ac:dyDescent="0.2">
      <c r="A228" s="18"/>
      <c r="B228" s="3"/>
      <c r="C228" s="17" t="s">
        <v>2</v>
      </c>
      <c r="D228" s="17" t="s">
        <v>17</v>
      </c>
      <c r="E228" s="19">
        <v>18</v>
      </c>
      <c r="F228" s="26"/>
      <c r="G228" s="26"/>
      <c r="H228" s="26"/>
      <c r="I228" s="26"/>
      <c r="J228" s="21">
        <f>(E228*F228)+(E228*G228/2)+((E228+E228*25/100)*H228)+(E229*I228*0.8)</f>
        <v>0</v>
      </c>
      <c r="K228" s="22"/>
      <c r="L228" s="22"/>
    </row>
    <row r="229" spans="1:12" ht="10.8" thickBot="1" x14ac:dyDescent="0.25">
      <c r="A229" s="41"/>
      <c r="B229" s="42"/>
      <c r="C229" s="43" t="s">
        <v>2</v>
      </c>
      <c r="D229" s="43" t="s">
        <v>18</v>
      </c>
      <c r="E229" s="44">
        <v>24</v>
      </c>
      <c r="F229" s="53"/>
      <c r="G229" s="53"/>
      <c r="H229" s="53"/>
      <c r="I229" s="53"/>
      <c r="J229" s="40">
        <f>(E229*F229)+(E229*G229/2)+((E229+E229*25/100)*H229)+(E229*I229*0.8)</f>
        <v>0</v>
      </c>
      <c r="K229" s="40">
        <v>0</v>
      </c>
      <c r="L229" s="40">
        <f>SUM(J220:J229)</f>
        <v>0</v>
      </c>
    </row>
    <row r="230" spans="1:12" x14ac:dyDescent="0.2">
      <c r="A230" s="18" t="s">
        <v>58</v>
      </c>
      <c r="B230" s="3" t="s">
        <v>50</v>
      </c>
      <c r="C230" s="17" t="s">
        <v>1</v>
      </c>
      <c r="D230" s="17" t="s">
        <v>15</v>
      </c>
      <c r="E230" s="19">
        <v>30</v>
      </c>
      <c r="F230" s="20"/>
      <c r="G230" s="20"/>
      <c r="H230" s="20"/>
      <c r="I230" s="20"/>
      <c r="J230" s="38">
        <f>(E230*F230)+(E230*G230/2)+((E230+E230*25/100)*H230)+(E239*I230*0.8)</f>
        <v>0</v>
      </c>
      <c r="K230" s="19"/>
      <c r="L230" s="22"/>
    </row>
    <row r="231" spans="1:12" x14ac:dyDescent="0.2">
      <c r="A231" s="18"/>
      <c r="B231" s="3"/>
      <c r="C231" s="17" t="s">
        <v>0</v>
      </c>
      <c r="D231" s="17" t="s">
        <v>15</v>
      </c>
      <c r="E231" s="19">
        <v>5</v>
      </c>
      <c r="F231" s="26"/>
      <c r="G231" s="26"/>
      <c r="H231" s="26"/>
      <c r="I231" s="26"/>
      <c r="J231" s="21">
        <f>(E231*F231)+(E231*G231/2)+((E231+E231*25/100)*H231)+(E231*I231*0.8)</f>
        <v>0</v>
      </c>
      <c r="K231" s="19"/>
      <c r="L231" s="22"/>
    </row>
    <row r="232" spans="1:12" x14ac:dyDescent="0.2">
      <c r="A232" s="18"/>
      <c r="B232" s="3"/>
      <c r="C232" s="17" t="s">
        <v>0</v>
      </c>
      <c r="D232" s="17" t="s">
        <v>16</v>
      </c>
      <c r="E232" s="19">
        <v>10</v>
      </c>
      <c r="F232" s="26"/>
      <c r="G232" s="26"/>
      <c r="H232" s="26"/>
      <c r="I232" s="26"/>
      <c r="J232" s="21">
        <f>(E232*F232)+(E232*G232/2)+((E232+E232*25/100)*H232)+(E232*I232*0.8)</f>
        <v>0</v>
      </c>
      <c r="K232" s="19"/>
      <c r="L232" s="22"/>
    </row>
    <row r="233" spans="1:12" x14ac:dyDescent="0.2">
      <c r="A233" s="18"/>
      <c r="B233" s="3"/>
      <c r="C233" s="17" t="s">
        <v>0</v>
      </c>
      <c r="D233" s="17" t="s">
        <v>17</v>
      </c>
      <c r="E233" s="19">
        <v>20</v>
      </c>
      <c r="F233" s="26"/>
      <c r="G233" s="26"/>
      <c r="H233" s="26"/>
      <c r="I233" s="26"/>
      <c r="J233" s="21">
        <f>(E233*F233)+(E233*G233/2)+((E233+E233*25/100)*H233)+(E233*I233*0.8)</f>
        <v>0</v>
      </c>
      <c r="K233" s="19"/>
      <c r="L233" s="22"/>
    </row>
    <row r="234" spans="1:12" x14ac:dyDescent="0.2">
      <c r="A234" s="18"/>
      <c r="B234" s="3"/>
      <c r="C234" s="17" t="s">
        <v>0</v>
      </c>
      <c r="D234" s="17" t="s">
        <v>18</v>
      </c>
      <c r="E234" s="19">
        <v>28</v>
      </c>
      <c r="F234" s="26"/>
      <c r="G234" s="26"/>
      <c r="H234" s="26"/>
      <c r="I234" s="26"/>
      <c r="J234" s="21">
        <f>(E234*F234)+(E234*G234/2)+((E234+E234*25/100)*H234)+(E234*I234*0.8)</f>
        <v>0</v>
      </c>
      <c r="K234" s="19"/>
      <c r="L234" s="22"/>
    </row>
    <row r="235" spans="1:12" x14ac:dyDescent="0.2">
      <c r="A235" s="18"/>
      <c r="B235" s="3"/>
      <c r="C235" s="17" t="s">
        <v>0</v>
      </c>
      <c r="D235" s="17" t="s">
        <v>19</v>
      </c>
      <c r="E235" s="19">
        <v>38</v>
      </c>
      <c r="F235" s="26"/>
      <c r="G235" s="26"/>
      <c r="H235" s="26"/>
      <c r="I235" s="26"/>
      <c r="J235" s="21">
        <f>(E235*F235)+(E235*G235/2)+((E235+E235*25/100)*H235)+(E235*I235*0.8)</f>
        <v>0</v>
      </c>
      <c r="K235" s="22"/>
      <c r="L235" s="22"/>
    </row>
    <row r="236" spans="1:12" x14ac:dyDescent="0.2">
      <c r="A236" s="18"/>
      <c r="B236" s="3"/>
      <c r="C236" s="17" t="s">
        <v>2</v>
      </c>
      <c r="D236" s="17" t="s">
        <v>15</v>
      </c>
      <c r="E236" s="19">
        <v>10</v>
      </c>
      <c r="F236" s="26"/>
      <c r="G236" s="26"/>
      <c r="H236" s="26"/>
      <c r="I236" s="26"/>
      <c r="J236" s="21">
        <f>(E236*F236)+(E236*G236/2)+((E236+E236*25/100)*H236)+(E239*I236*0.8)</f>
        <v>0</v>
      </c>
      <c r="K236" s="22"/>
      <c r="L236" s="22"/>
    </row>
    <row r="237" spans="1:12" x14ac:dyDescent="0.2">
      <c r="A237" s="18"/>
      <c r="B237" s="3"/>
      <c r="C237" s="17" t="s">
        <v>2</v>
      </c>
      <c r="D237" s="17" t="s">
        <v>16</v>
      </c>
      <c r="E237" s="19">
        <v>15</v>
      </c>
      <c r="F237" s="26"/>
      <c r="G237" s="26"/>
      <c r="H237" s="26"/>
      <c r="I237" s="26"/>
      <c r="J237" s="21">
        <f>(E237*F237)+(E237*G237/2)+((E237+E237*25/100)*H237)+(E239*I237*0.8)</f>
        <v>0</v>
      </c>
      <c r="K237" s="22"/>
      <c r="L237" s="22"/>
    </row>
    <row r="238" spans="1:12" x14ac:dyDescent="0.2">
      <c r="A238" s="18"/>
      <c r="B238" s="3"/>
      <c r="C238" s="17" t="s">
        <v>2</v>
      </c>
      <c r="D238" s="17" t="s">
        <v>17</v>
      </c>
      <c r="E238" s="19">
        <v>18</v>
      </c>
      <c r="F238" s="26"/>
      <c r="G238" s="26"/>
      <c r="H238" s="26"/>
      <c r="I238" s="26"/>
      <c r="J238" s="21">
        <f>(E238*F238)+(E238*G238/2)+((E238+E238*25/100)*H238)+(E239*I238*0.8)</f>
        <v>0</v>
      </c>
      <c r="K238" s="22"/>
      <c r="L238" s="22"/>
    </row>
    <row r="239" spans="1:12" ht="10.8" thickBot="1" x14ac:dyDescent="0.25">
      <c r="A239" s="41"/>
      <c r="B239" s="42"/>
      <c r="C239" s="43" t="s">
        <v>2</v>
      </c>
      <c r="D239" s="43" t="s">
        <v>18</v>
      </c>
      <c r="E239" s="44">
        <v>24</v>
      </c>
      <c r="F239" s="53"/>
      <c r="G239" s="53"/>
      <c r="H239" s="53"/>
      <c r="I239" s="53"/>
      <c r="J239" s="40">
        <f>(E239*F239)+(E239*G239/2)+((E239+E239*25/100)*H239)+(E239*I239*0.8)</f>
        <v>0</v>
      </c>
      <c r="K239" s="40">
        <v>0</v>
      </c>
      <c r="L239" s="40">
        <f>SUM(J230:J239)</f>
        <v>0</v>
      </c>
    </row>
    <row r="240" spans="1:12" x14ac:dyDescent="0.2">
      <c r="A240" s="18" t="s">
        <v>42</v>
      </c>
      <c r="B240" s="3" t="s">
        <v>55</v>
      </c>
      <c r="C240" s="17" t="s">
        <v>1</v>
      </c>
      <c r="D240" s="17" t="s">
        <v>15</v>
      </c>
      <c r="E240" s="19">
        <v>30</v>
      </c>
      <c r="F240" s="20"/>
      <c r="G240" s="20"/>
      <c r="H240" s="20"/>
      <c r="I240" s="20"/>
      <c r="J240" s="38">
        <f>(E240*F240)+(E240*G240/2)+((E240+E240*25/100)*H240)+(E249*I240*0.8)</f>
        <v>0</v>
      </c>
      <c r="K240" s="19"/>
      <c r="L240" s="22"/>
    </row>
    <row r="241" spans="1:12" x14ac:dyDescent="0.2">
      <c r="A241" s="18"/>
      <c r="B241" s="3"/>
      <c r="C241" s="17" t="s">
        <v>0</v>
      </c>
      <c r="D241" s="17" t="s">
        <v>15</v>
      </c>
      <c r="E241" s="19">
        <v>5</v>
      </c>
      <c r="F241" s="26"/>
      <c r="G241" s="26"/>
      <c r="H241" s="26"/>
      <c r="I241" s="26"/>
      <c r="J241" s="21">
        <f>(E241*F241)+(E241*G241/2)+((E241+E241*25/100)*H241)+(E241*I241*0.8)</f>
        <v>0</v>
      </c>
      <c r="K241" s="19"/>
      <c r="L241" s="22"/>
    </row>
    <row r="242" spans="1:12" x14ac:dyDescent="0.2">
      <c r="A242" s="18"/>
      <c r="B242" s="3"/>
      <c r="C242" s="17" t="s">
        <v>0</v>
      </c>
      <c r="D242" s="17" t="s">
        <v>16</v>
      </c>
      <c r="E242" s="19">
        <v>10</v>
      </c>
      <c r="F242" s="26"/>
      <c r="G242" s="26"/>
      <c r="H242" s="26"/>
      <c r="I242" s="26"/>
      <c r="J242" s="21">
        <f>(E242*F242)+(E242*G242/2)+((E242+E242*25/100)*H242)+(E242*I242*0.8)</f>
        <v>0</v>
      </c>
      <c r="K242" s="19"/>
      <c r="L242" s="22"/>
    </row>
    <row r="243" spans="1:12" x14ac:dyDescent="0.2">
      <c r="A243" s="18"/>
      <c r="B243" s="3"/>
      <c r="C243" s="17" t="s">
        <v>0</v>
      </c>
      <c r="D243" s="17" t="s">
        <v>17</v>
      </c>
      <c r="E243" s="19">
        <v>20</v>
      </c>
      <c r="F243" s="26"/>
      <c r="G243" s="26"/>
      <c r="H243" s="26"/>
      <c r="I243" s="26"/>
      <c r="J243" s="21">
        <f>(E243*F243)+(E243*G243/2)+((E243+E243*25/100)*H243)+(E243*I243*0.8)</f>
        <v>0</v>
      </c>
      <c r="K243" s="19"/>
      <c r="L243" s="22"/>
    </row>
    <row r="244" spans="1:12" x14ac:dyDescent="0.2">
      <c r="A244" s="18"/>
      <c r="B244" s="3"/>
      <c r="C244" s="17" t="s">
        <v>0</v>
      </c>
      <c r="D244" s="17" t="s">
        <v>18</v>
      </c>
      <c r="E244" s="19">
        <v>28</v>
      </c>
      <c r="F244" s="26"/>
      <c r="G244" s="26"/>
      <c r="H244" s="26"/>
      <c r="I244" s="26"/>
      <c r="J244" s="21">
        <f>(E244*F244)+(E244*G244/2)+((E244+E244*25/100)*H244)+(E244*I244*0.8)</f>
        <v>0</v>
      </c>
      <c r="K244" s="19"/>
      <c r="L244" s="22"/>
    </row>
    <row r="245" spans="1:12" x14ac:dyDescent="0.2">
      <c r="A245" s="18"/>
      <c r="B245" s="3"/>
      <c r="C245" s="17" t="s">
        <v>0</v>
      </c>
      <c r="D245" s="17" t="s">
        <v>19</v>
      </c>
      <c r="E245" s="19">
        <v>38</v>
      </c>
      <c r="F245" s="26"/>
      <c r="G245" s="26"/>
      <c r="H245" s="26"/>
      <c r="I245" s="26"/>
      <c r="J245" s="21">
        <f>(E245*F245)+(E245*G245/2)+((E245+E245*25/100)*H245)+(E245*I245*0.8)</f>
        <v>0</v>
      </c>
      <c r="K245" s="22"/>
      <c r="L245" s="22"/>
    </row>
    <row r="246" spans="1:12" x14ac:dyDescent="0.2">
      <c r="A246" s="18"/>
      <c r="B246" s="3"/>
      <c r="C246" s="17" t="s">
        <v>2</v>
      </c>
      <c r="D246" s="17" t="s">
        <v>15</v>
      </c>
      <c r="E246" s="19">
        <v>10</v>
      </c>
      <c r="F246" s="26"/>
      <c r="G246" s="26"/>
      <c r="H246" s="26"/>
      <c r="I246" s="26"/>
      <c r="J246" s="21">
        <f>(E246*F246)+(E246*G246/2)+((E246+E246*25/100)*H246)+(E249*I246*0.8)</f>
        <v>0</v>
      </c>
      <c r="K246" s="22"/>
      <c r="L246" s="22"/>
    </row>
    <row r="247" spans="1:12" x14ac:dyDescent="0.2">
      <c r="A247" s="18"/>
      <c r="B247" s="3"/>
      <c r="C247" s="17" t="s">
        <v>2</v>
      </c>
      <c r="D247" s="17" t="s">
        <v>16</v>
      </c>
      <c r="E247" s="19">
        <v>15</v>
      </c>
      <c r="F247" s="26"/>
      <c r="G247" s="26"/>
      <c r="H247" s="26"/>
      <c r="I247" s="26"/>
      <c r="J247" s="21">
        <f>(E247*F247)+(E247*G247/2)+((E247+E247*25/100)*H247)+(E249*I247*0.8)</f>
        <v>0</v>
      </c>
      <c r="K247" s="22"/>
      <c r="L247" s="22"/>
    </row>
    <row r="248" spans="1:12" x14ac:dyDescent="0.2">
      <c r="A248" s="18"/>
      <c r="B248" s="3"/>
      <c r="C248" s="17" t="s">
        <v>2</v>
      </c>
      <c r="D248" s="17" t="s">
        <v>17</v>
      </c>
      <c r="E248" s="19">
        <v>18</v>
      </c>
      <c r="F248" s="26"/>
      <c r="G248" s="26"/>
      <c r="H248" s="26"/>
      <c r="I248" s="26"/>
      <c r="J248" s="21">
        <f>(E248*F248)+(E248*G248/2)+((E248+E248*25/100)*H248)+(E249*I248*0.8)</f>
        <v>0</v>
      </c>
      <c r="K248" s="22"/>
      <c r="L248" s="22"/>
    </row>
    <row r="249" spans="1:12" ht="10.8" thickBot="1" x14ac:dyDescent="0.25">
      <c r="A249" s="41"/>
      <c r="B249" s="42"/>
      <c r="C249" s="43" t="s">
        <v>2</v>
      </c>
      <c r="D249" s="43" t="s">
        <v>18</v>
      </c>
      <c r="E249" s="44">
        <v>24</v>
      </c>
      <c r="F249" s="53"/>
      <c r="G249" s="53"/>
      <c r="H249" s="53"/>
      <c r="I249" s="53"/>
      <c r="J249" s="40">
        <f>(E249*F249)+(E249*G249/2)+((E249+E249*25/100)*H249)+(E249*I249*0.8)</f>
        <v>0</v>
      </c>
      <c r="K249" s="40">
        <v>0</v>
      </c>
      <c r="L249" s="40">
        <f>SUM(J240:J249)</f>
        <v>0</v>
      </c>
    </row>
    <row r="250" spans="1:12" x14ac:dyDescent="0.2">
      <c r="A250" s="18" t="s">
        <v>42</v>
      </c>
      <c r="B250" s="3" t="s">
        <v>56</v>
      </c>
      <c r="C250" s="17" t="s">
        <v>1</v>
      </c>
      <c r="D250" s="17" t="s">
        <v>15</v>
      </c>
      <c r="E250" s="19">
        <v>30</v>
      </c>
      <c r="F250" s="20"/>
      <c r="G250" s="20"/>
      <c r="H250" s="20"/>
      <c r="I250" s="20"/>
      <c r="J250" s="38">
        <f>(E250*F250)+(E250*G250/2)+((E250+E250*25/100)*H250)+(E259*I250*0.8)</f>
        <v>0</v>
      </c>
      <c r="K250" s="19"/>
      <c r="L250" s="22"/>
    </row>
    <row r="251" spans="1:12" x14ac:dyDescent="0.2">
      <c r="A251" s="18"/>
      <c r="B251" s="3"/>
      <c r="C251" s="17" t="s">
        <v>0</v>
      </c>
      <c r="D251" s="17" t="s">
        <v>15</v>
      </c>
      <c r="E251" s="19">
        <v>5</v>
      </c>
      <c r="F251" s="26"/>
      <c r="G251" s="26"/>
      <c r="H251" s="26"/>
      <c r="I251" s="26"/>
      <c r="J251" s="21">
        <f>(E251*F251)+(E251*G251/2)+((E251+E251*25/100)*H251)+(E251*I251*0.8)</f>
        <v>0</v>
      </c>
      <c r="K251" s="19"/>
      <c r="L251" s="22"/>
    </row>
    <row r="252" spans="1:12" x14ac:dyDescent="0.2">
      <c r="A252" s="18"/>
      <c r="B252" s="3"/>
      <c r="C252" s="17" t="s">
        <v>0</v>
      </c>
      <c r="D252" s="17" t="s">
        <v>16</v>
      </c>
      <c r="E252" s="19">
        <v>10</v>
      </c>
      <c r="F252" s="26"/>
      <c r="G252" s="26"/>
      <c r="H252" s="26"/>
      <c r="I252" s="26"/>
      <c r="J252" s="21">
        <f>(E252*F252)+(E252*G252/2)+((E252+E252*25/100)*H252)+(E252*I252*0.8)</f>
        <v>0</v>
      </c>
      <c r="K252" s="19"/>
      <c r="L252" s="22"/>
    </row>
    <row r="253" spans="1:12" x14ac:dyDescent="0.2">
      <c r="A253" s="18"/>
      <c r="B253" s="3"/>
      <c r="C253" s="17" t="s">
        <v>0</v>
      </c>
      <c r="D253" s="17" t="s">
        <v>17</v>
      </c>
      <c r="E253" s="19">
        <v>20</v>
      </c>
      <c r="F253" s="26"/>
      <c r="G253" s="26"/>
      <c r="H253" s="26"/>
      <c r="I253" s="26"/>
      <c r="J253" s="21">
        <f>(E253*F253)+(E253*G253/2)+((E253+E253*25/100)*H253)+(E253*I253*0.8)</f>
        <v>0</v>
      </c>
      <c r="K253" s="19"/>
      <c r="L253" s="22"/>
    </row>
    <row r="254" spans="1:12" x14ac:dyDescent="0.2">
      <c r="A254" s="18"/>
      <c r="B254" s="3"/>
      <c r="C254" s="17" t="s">
        <v>0</v>
      </c>
      <c r="D254" s="17" t="s">
        <v>18</v>
      </c>
      <c r="E254" s="19">
        <v>28</v>
      </c>
      <c r="F254" s="26"/>
      <c r="G254" s="26"/>
      <c r="H254" s="26"/>
      <c r="I254" s="26"/>
      <c r="J254" s="21">
        <f>(E254*F254)+(E254*G254/2)+((E254+E254*25/100)*H254)+(E254*I254*0.8)</f>
        <v>0</v>
      </c>
      <c r="K254" s="19"/>
      <c r="L254" s="22"/>
    </row>
    <row r="255" spans="1:12" x14ac:dyDescent="0.2">
      <c r="A255" s="18"/>
      <c r="B255" s="3"/>
      <c r="C255" s="17" t="s">
        <v>0</v>
      </c>
      <c r="D255" s="17" t="s">
        <v>19</v>
      </c>
      <c r="E255" s="19">
        <v>38</v>
      </c>
      <c r="F255" s="26"/>
      <c r="G255" s="26"/>
      <c r="H255" s="26"/>
      <c r="I255" s="26"/>
      <c r="J255" s="21">
        <f>(E255*F255)+(E255*G255/2)+((E255+E255*25/100)*H255)+(E255*I255*0.8)</f>
        <v>0</v>
      </c>
      <c r="K255" s="22"/>
      <c r="L255" s="22"/>
    </row>
    <row r="256" spans="1:12" x14ac:dyDescent="0.2">
      <c r="A256" s="18"/>
      <c r="B256" s="3"/>
      <c r="C256" s="17" t="s">
        <v>2</v>
      </c>
      <c r="D256" s="17" t="s">
        <v>15</v>
      </c>
      <c r="E256" s="19">
        <v>10</v>
      </c>
      <c r="F256" s="26"/>
      <c r="G256" s="26"/>
      <c r="H256" s="26"/>
      <c r="I256" s="26"/>
      <c r="J256" s="21">
        <f>(E256*F256)+(E256*G256/2)+((E256+E256*25/100)*H256)+(E259*I256*0.8)</f>
        <v>0</v>
      </c>
      <c r="K256" s="22"/>
      <c r="L256" s="22"/>
    </row>
    <row r="257" spans="1:12" x14ac:dyDescent="0.2">
      <c r="A257" s="18"/>
      <c r="B257" s="3"/>
      <c r="C257" s="17" t="s">
        <v>2</v>
      </c>
      <c r="D257" s="17" t="s">
        <v>16</v>
      </c>
      <c r="E257" s="19">
        <v>15</v>
      </c>
      <c r="F257" s="26"/>
      <c r="G257" s="26"/>
      <c r="H257" s="26"/>
      <c r="I257" s="26"/>
      <c r="J257" s="21">
        <f>(E257*F257)+(E257*G257/2)+((E257+E257*25/100)*H257)+(E259*I257*0.8)</f>
        <v>0</v>
      </c>
      <c r="K257" s="22"/>
      <c r="L257" s="22"/>
    </row>
    <row r="258" spans="1:12" x14ac:dyDescent="0.2">
      <c r="A258" s="18"/>
      <c r="B258" s="3"/>
      <c r="C258" s="17" t="s">
        <v>2</v>
      </c>
      <c r="D258" s="17" t="s">
        <v>17</v>
      </c>
      <c r="E258" s="19">
        <v>18</v>
      </c>
      <c r="F258" s="26"/>
      <c r="G258" s="26"/>
      <c r="H258" s="26"/>
      <c r="I258" s="26"/>
      <c r="J258" s="21">
        <f>(E258*F258)+(E258*G258/2)+((E258+E258*25/100)*H258)+(E259*I258*0.8)</f>
        <v>0</v>
      </c>
      <c r="K258" s="22"/>
      <c r="L258" s="22"/>
    </row>
    <row r="259" spans="1:12" ht="12.75" customHeight="1" thickBot="1" x14ac:dyDescent="0.25">
      <c r="A259" s="41"/>
      <c r="B259" s="42"/>
      <c r="C259" s="43" t="s">
        <v>2</v>
      </c>
      <c r="D259" s="43" t="s">
        <v>18</v>
      </c>
      <c r="E259" s="44">
        <v>24</v>
      </c>
      <c r="F259" s="53"/>
      <c r="G259" s="53"/>
      <c r="H259" s="53"/>
      <c r="I259" s="53"/>
      <c r="J259" s="40">
        <f>(E259*F259)+(E259*G259/2)+((E259+E259*25/100)*H259)+(E259*I259*0.8)</f>
        <v>0</v>
      </c>
      <c r="K259" s="40">
        <v>0</v>
      </c>
      <c r="L259" s="40">
        <f>SUM(J250:J259)</f>
        <v>0</v>
      </c>
    </row>
    <row r="260" spans="1:12" ht="12.75" customHeight="1" x14ac:dyDescent="0.2">
      <c r="A260" s="3"/>
      <c r="B260" s="3"/>
      <c r="C260" s="3"/>
      <c r="D260" s="3"/>
      <c r="E260" s="36"/>
      <c r="F260" s="37"/>
      <c r="G260" s="37"/>
      <c r="H260" s="37"/>
      <c r="I260" s="37"/>
      <c r="J260" s="36"/>
      <c r="K260" s="36"/>
      <c r="L260" s="36"/>
    </row>
    <row r="261" spans="1:12" ht="12.75" customHeight="1" thickBot="1" x14ac:dyDescent="0.25">
      <c r="A261" s="50"/>
      <c r="B261" s="50"/>
      <c r="C261" s="50"/>
      <c r="D261" s="50"/>
      <c r="E261" s="51"/>
      <c r="F261" s="52"/>
      <c r="G261" s="52"/>
      <c r="H261" s="52"/>
      <c r="I261" s="52"/>
      <c r="J261" s="51"/>
      <c r="K261" s="51"/>
      <c r="L261" s="51"/>
    </row>
    <row r="262" spans="1:12" ht="21" thickBot="1" x14ac:dyDescent="0.25">
      <c r="A262" s="54" t="s">
        <v>6</v>
      </c>
      <c r="B262" s="55" t="s">
        <v>7</v>
      </c>
      <c r="C262" s="56" t="s">
        <v>8</v>
      </c>
      <c r="D262" s="56" t="s">
        <v>9</v>
      </c>
      <c r="E262" s="56" t="s">
        <v>10</v>
      </c>
      <c r="F262" s="56" t="s">
        <v>11</v>
      </c>
      <c r="G262" s="56" t="s">
        <v>12</v>
      </c>
      <c r="H262" s="56" t="s">
        <v>28</v>
      </c>
      <c r="I262" s="56" t="s">
        <v>30</v>
      </c>
      <c r="J262" s="57" t="s">
        <v>13</v>
      </c>
      <c r="K262" s="57" t="s">
        <v>31</v>
      </c>
      <c r="L262" s="46" t="s">
        <v>14</v>
      </c>
    </row>
    <row r="263" spans="1:12" x14ac:dyDescent="0.2">
      <c r="A263" s="18" t="s">
        <v>40</v>
      </c>
      <c r="B263" s="3" t="s">
        <v>57</v>
      </c>
      <c r="C263" s="17" t="s">
        <v>1</v>
      </c>
      <c r="D263" s="17" t="s">
        <v>15</v>
      </c>
      <c r="E263" s="19">
        <v>30</v>
      </c>
      <c r="F263" s="20"/>
      <c r="G263" s="20"/>
      <c r="H263" s="20"/>
      <c r="I263" s="20"/>
      <c r="J263" s="38">
        <f>(E263*F263)+(E263*G263/2)+((E263+E263*25/100)*H263)+(E272*I263*0.8)</f>
        <v>0</v>
      </c>
      <c r="K263" s="19"/>
      <c r="L263" s="22"/>
    </row>
    <row r="264" spans="1:12" x14ac:dyDescent="0.2">
      <c r="A264" s="18" t="s">
        <v>41</v>
      </c>
      <c r="B264" s="3"/>
      <c r="C264" s="17" t="s">
        <v>0</v>
      </c>
      <c r="D264" s="17" t="s">
        <v>15</v>
      </c>
      <c r="E264" s="19">
        <v>5</v>
      </c>
      <c r="F264" s="26"/>
      <c r="G264" s="26"/>
      <c r="H264" s="26"/>
      <c r="I264" s="26"/>
      <c r="J264" s="21">
        <f>(E264*F264)+(E264*G264/2)+((E264+E264*25/100)*H264)+(E264*I264*0.8)</f>
        <v>0</v>
      </c>
      <c r="K264" s="19"/>
      <c r="L264" s="22"/>
    </row>
    <row r="265" spans="1:12" x14ac:dyDescent="0.2">
      <c r="A265" s="18"/>
      <c r="B265" s="3"/>
      <c r="C265" s="17" t="s">
        <v>0</v>
      </c>
      <c r="D265" s="17" t="s">
        <v>16</v>
      </c>
      <c r="E265" s="19">
        <v>10</v>
      </c>
      <c r="F265" s="26"/>
      <c r="G265" s="26"/>
      <c r="H265" s="26"/>
      <c r="I265" s="26"/>
      <c r="J265" s="21">
        <f>(E265*F265)+(E265*G265/2)+((E265+E265*25/100)*H265)+(E265*I265*0.8)</f>
        <v>0</v>
      </c>
      <c r="K265" s="19"/>
      <c r="L265" s="22"/>
    </row>
    <row r="266" spans="1:12" x14ac:dyDescent="0.2">
      <c r="A266" s="18"/>
      <c r="B266" s="3"/>
      <c r="C266" s="17" t="s">
        <v>0</v>
      </c>
      <c r="D266" s="17" t="s">
        <v>17</v>
      </c>
      <c r="E266" s="19">
        <v>20</v>
      </c>
      <c r="F266" s="26"/>
      <c r="G266" s="26"/>
      <c r="H266" s="26"/>
      <c r="I266" s="26"/>
      <c r="J266" s="21">
        <f>(E266*F266)+(E266*G266/2)+((E266+E266*25/100)*H266)+(E266*I266*0.8)</f>
        <v>0</v>
      </c>
      <c r="K266" s="19"/>
      <c r="L266" s="22"/>
    </row>
    <row r="267" spans="1:12" x14ac:dyDescent="0.2">
      <c r="A267" s="18"/>
      <c r="B267" s="3"/>
      <c r="C267" s="17" t="s">
        <v>0</v>
      </c>
      <c r="D267" s="17" t="s">
        <v>18</v>
      </c>
      <c r="E267" s="19">
        <v>28</v>
      </c>
      <c r="F267" s="26"/>
      <c r="G267" s="26"/>
      <c r="H267" s="26"/>
      <c r="I267" s="26"/>
      <c r="J267" s="21">
        <f>(E267*F267)+(E267*G267/2)+((E267+E267*25/100)*H267)+(E267*I267*0.8)</f>
        <v>0</v>
      </c>
      <c r="K267" s="19"/>
      <c r="L267" s="22"/>
    </row>
    <row r="268" spans="1:12" x14ac:dyDescent="0.2">
      <c r="A268" s="18"/>
      <c r="B268" s="3"/>
      <c r="C268" s="17" t="s">
        <v>0</v>
      </c>
      <c r="D268" s="17" t="s">
        <v>19</v>
      </c>
      <c r="E268" s="19">
        <v>38</v>
      </c>
      <c r="F268" s="26"/>
      <c r="G268" s="26"/>
      <c r="H268" s="26"/>
      <c r="I268" s="26"/>
      <c r="J268" s="21">
        <f>(E268*F268)+(E268*G268/2)+((E268+E268*25/100)*H268)+(E268*I268*0.8)</f>
        <v>0</v>
      </c>
      <c r="K268" s="22"/>
      <c r="L268" s="22"/>
    </row>
    <row r="269" spans="1:12" x14ac:dyDescent="0.2">
      <c r="A269" s="18"/>
      <c r="B269" s="3"/>
      <c r="C269" s="17" t="s">
        <v>2</v>
      </c>
      <c r="D269" s="17" t="s">
        <v>15</v>
      </c>
      <c r="E269" s="19">
        <v>10</v>
      </c>
      <c r="F269" s="26"/>
      <c r="G269" s="26"/>
      <c r="H269" s="26"/>
      <c r="I269" s="26"/>
      <c r="J269" s="21">
        <f>(E269*F269)+(E269*G269/2)+((E269+E269*25/100)*H269)+(E272*I269*0.8)</f>
        <v>0</v>
      </c>
      <c r="K269" s="22"/>
      <c r="L269" s="22"/>
    </row>
    <row r="270" spans="1:12" x14ac:dyDescent="0.2">
      <c r="A270" s="18"/>
      <c r="B270" s="3"/>
      <c r="C270" s="17" t="s">
        <v>2</v>
      </c>
      <c r="D270" s="17" t="s">
        <v>16</v>
      </c>
      <c r="E270" s="19">
        <v>15</v>
      </c>
      <c r="F270" s="26"/>
      <c r="G270" s="26"/>
      <c r="H270" s="26"/>
      <c r="I270" s="26"/>
      <c r="J270" s="21">
        <f>(E270*F270)+(E270*G270/2)+((E270+E270*25/100)*H270)+(E272*I270*0.8)</f>
        <v>0</v>
      </c>
      <c r="K270" s="22"/>
      <c r="L270" s="22"/>
    </row>
    <row r="271" spans="1:12" x14ac:dyDescent="0.2">
      <c r="A271" s="18"/>
      <c r="B271" s="3"/>
      <c r="C271" s="17" t="s">
        <v>2</v>
      </c>
      <c r="D271" s="17" t="s">
        <v>17</v>
      </c>
      <c r="E271" s="19">
        <v>18</v>
      </c>
      <c r="F271" s="26"/>
      <c r="G271" s="26"/>
      <c r="H271" s="26"/>
      <c r="I271" s="26"/>
      <c r="J271" s="21">
        <f>(E271*F271)+(E271*G271/2)+((E271+E271*25/100)*H271)+(E272*I271*0.8)</f>
        <v>0</v>
      </c>
      <c r="K271" s="22"/>
      <c r="L271" s="22"/>
    </row>
    <row r="272" spans="1:12" ht="10.8" thickBot="1" x14ac:dyDescent="0.25">
      <c r="A272" s="41"/>
      <c r="B272" s="42"/>
      <c r="C272" s="43" t="s">
        <v>2</v>
      </c>
      <c r="D272" s="43" t="s">
        <v>18</v>
      </c>
      <c r="E272" s="44">
        <v>24</v>
      </c>
      <c r="F272" s="53"/>
      <c r="G272" s="53"/>
      <c r="H272" s="53"/>
      <c r="I272" s="53"/>
      <c r="J272" s="40">
        <f>(E272*F272)+(E272*G272/2)+((E272+E272*25/100)*H272)+(E272*I272*0.8)</f>
        <v>0</v>
      </c>
      <c r="K272" s="40">
        <v>0</v>
      </c>
      <c r="L272" s="40">
        <f>SUM(J263:J272)</f>
        <v>0</v>
      </c>
    </row>
    <row r="274" spans="1:12" x14ac:dyDescent="0.2">
      <c r="A274" s="65" t="s">
        <v>62</v>
      </c>
      <c r="B274" s="65"/>
    </row>
    <row r="276" spans="1:12" x14ac:dyDescent="0.2">
      <c r="B276" s="3" t="s">
        <v>43</v>
      </c>
      <c r="E276" s="65" t="s">
        <v>47</v>
      </c>
      <c r="F276" s="65"/>
      <c r="G276" s="65"/>
      <c r="H276" s="65"/>
      <c r="I276" s="65"/>
      <c r="J276" s="65"/>
      <c r="K276" s="3"/>
      <c r="L276" s="3"/>
    </row>
    <row r="277" spans="1:12" x14ac:dyDescent="0.2">
      <c r="B277" s="3"/>
      <c r="E277" s="65"/>
      <c r="F277" s="65"/>
      <c r="G277" s="65"/>
      <c r="H277" s="65"/>
      <c r="I277" s="65"/>
      <c r="J277" s="65"/>
      <c r="K277" s="3"/>
      <c r="L277" s="3"/>
    </row>
  </sheetData>
  <customSheetViews>
    <customSheetView guid="{0E071083-17EF-4660-B708-C7CD6779ED1E}" scale="75" showRuler="0" topLeftCell="A21">
      <selection activeCell="B25" sqref="B25"/>
      <rowBreaks count="2" manualBreakCount="2">
        <brk id="165" max="16383" man="1"/>
        <brk id="246" max="16383" man="1"/>
      </rowBreaks>
      <pageMargins left="0.39370078740157483" right="0.39370078740157483" top="0" bottom="0" header="0" footer="0"/>
      <printOptions horizontalCentered="1" verticalCentered="1"/>
      <pageSetup paperSize="9" scale="75" orientation="portrait" r:id="rId1"/>
      <headerFooter alignWithMargins="0"/>
    </customSheetView>
  </customSheetViews>
  <mergeCells count="10">
    <mergeCell ref="D9:F9"/>
    <mergeCell ref="A11:L11"/>
    <mergeCell ref="E276:J276"/>
    <mergeCell ref="E277:J277"/>
    <mergeCell ref="A17:L17"/>
    <mergeCell ref="C12:H12"/>
    <mergeCell ref="A14:L14"/>
    <mergeCell ref="A15:L15"/>
    <mergeCell ref="A16:L16"/>
    <mergeCell ref="A274:B274"/>
  </mergeCells>
  <phoneticPr fontId="0" type="noConversion"/>
  <printOptions horizontalCentered="1"/>
  <pageMargins left="0.25" right="0.25" top="0.75" bottom="0.75" header="0.3" footer="0.3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Mensile</vt:lpstr>
    </vt:vector>
  </TitlesOfParts>
  <Company>M.I.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Squadra Nautica</dc:creator>
  <cp:lastModifiedBy>VITTORI Paolo</cp:lastModifiedBy>
  <cp:lastPrinted>2026-01-09T11:16:37Z</cp:lastPrinted>
  <dcterms:created xsi:type="dcterms:W3CDTF">2001-09-28T03:24:36Z</dcterms:created>
  <dcterms:modified xsi:type="dcterms:W3CDTF">2026-03-18T12:02:19Z</dcterms:modified>
</cp:coreProperties>
</file>